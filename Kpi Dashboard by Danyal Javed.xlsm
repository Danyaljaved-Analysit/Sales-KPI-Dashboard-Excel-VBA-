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hidePivotFieldList="1" defaultThemeVersion="164011"/>
  <mc:AlternateContent xmlns:mc="http://schemas.openxmlformats.org/markup-compatibility/2006">
    <mc:Choice Requires="x15">
      <x15ac:absPath xmlns:x15ac="http://schemas.microsoft.com/office/spreadsheetml/2010/11/ac" url="C:\Users\Hp\OneDrive\Documents\"/>
    </mc:Choice>
  </mc:AlternateContent>
  <bookViews>
    <workbookView xWindow="0" yWindow="0" windowWidth="19200" windowHeight="7580"/>
  </bookViews>
  <sheets>
    <sheet name=" Data" sheetId="1" r:id="rId1"/>
    <sheet name="Analsis" sheetId="3" r:id="rId2"/>
    <sheet name="Dashboard" sheetId="4" r:id="rId3"/>
  </sheets>
  <definedNames>
    <definedName name="_xlnm.Print_Area" localSheetId="2">Dashboard!$A$1:$M$32</definedName>
    <definedName name="Slicer_City">#N/A</definedName>
  </definedNames>
  <calcPr calcId="162913"/>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4" l="1"/>
  <c r="I3" i="4"/>
  <c r="D3" i="4"/>
</calcChain>
</file>

<file path=xl/sharedStrings.xml><?xml version="1.0" encoding="utf-8"?>
<sst xmlns="http://schemas.openxmlformats.org/spreadsheetml/2006/main" count="286" uniqueCount="51">
  <si>
    <t>Order ID</t>
  </si>
  <si>
    <t>Order Date</t>
  </si>
  <si>
    <t>Region</t>
  </si>
  <si>
    <t>City</t>
  </si>
  <si>
    <t>Category</t>
  </si>
  <si>
    <t>Sub-Category</t>
  </si>
  <si>
    <t>Product Name</t>
  </si>
  <si>
    <t>Sales</t>
  </si>
  <si>
    <t>Quantity</t>
  </si>
  <si>
    <t>Profit</t>
  </si>
  <si>
    <t>Ship Days</t>
  </si>
  <si>
    <t>East</t>
  </si>
  <si>
    <t>Lahore</t>
  </si>
  <si>
    <t>Furniture</t>
  </si>
  <si>
    <t>Chairs</t>
  </si>
  <si>
    <t>Office Chair</t>
  </si>
  <si>
    <t>West</t>
  </si>
  <si>
    <t>Karachi</t>
  </si>
  <si>
    <t>Technology</t>
  </si>
  <si>
    <t>Phones</t>
  </si>
  <si>
    <t>Smartphone</t>
  </si>
  <si>
    <t>North</t>
  </si>
  <si>
    <t>Islamabad</t>
  </si>
  <si>
    <t>Office Supplies</t>
  </si>
  <si>
    <t>Binders</t>
  </si>
  <si>
    <t>Binder Set</t>
  </si>
  <si>
    <t>South</t>
  </si>
  <si>
    <t>Faisalabad</t>
  </si>
  <si>
    <t>Tables</t>
  </si>
  <si>
    <t>Wood Table</t>
  </si>
  <si>
    <t>Laptops</t>
  </si>
  <si>
    <t>Laptop</t>
  </si>
  <si>
    <t>Paper</t>
  </si>
  <si>
    <t>A4 Paper</t>
  </si>
  <si>
    <t>Executive Chair</t>
  </si>
  <si>
    <t>Multan</t>
  </si>
  <si>
    <t>Accessories</t>
  </si>
  <si>
    <t>Mouse</t>
  </si>
  <si>
    <t>Markers</t>
  </si>
  <si>
    <t>Marker Set</t>
  </si>
  <si>
    <t>Tablet</t>
  </si>
  <si>
    <t>Rawalpindi</t>
  </si>
  <si>
    <t>Row Labels</t>
  </si>
  <si>
    <t>Sum of Sales</t>
  </si>
  <si>
    <t>2024</t>
  </si>
  <si>
    <t>2025</t>
  </si>
  <si>
    <t>2026</t>
  </si>
  <si>
    <t>2027</t>
  </si>
  <si>
    <t>2028</t>
  </si>
  <si>
    <t>Average of Ship Days</t>
  </si>
  <si>
    <t>Sum of 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</si>
</sst>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b/>
      <sz val="11"/>
      <color theme="1"/>
      <name val="Calibri"/>
      <family val="2"/>
      <scheme val="minor"/>
    </font>
    <font>
      <sz val="18"/>
      <color theme="1"/>
      <name val="Calibri"/>
      <family val="2"/>
      <scheme val="minor"/>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1">
    <xf numFmtId="0" fontId="0" fillId="0" borderId="0"/>
  </cellStyleXfs>
  <cellXfs count="10">
    <xf numFmtId="0" fontId="0" fillId="0" borderId="0" xfId="0"/>
    <xf numFmtId="14" fontId="0" fillId="0" borderId="0" xfId="0" applyNumberFormat="1"/>
    <xf numFmtId="0" fontId="1" fillId="0" borderId="0" xfId="0" applyFont="1"/>
    <xf numFmtId="1" fontId="0" fillId="0" borderId="0" xfId="0" applyNumberFormat="1"/>
    <xf numFmtId="0" fontId="0" fillId="0" borderId="0" xfId="0" pivotButton="1"/>
    <xf numFmtId="0" fontId="0" fillId="0" borderId="0" xfId="0" applyAlignment="1">
      <alignment horizontal="left"/>
    </xf>
    <xf numFmtId="0" fontId="0" fillId="0" borderId="0" xfId="0" applyNumberFormat="1"/>
    <xf numFmtId="0" fontId="0" fillId="2" borderId="0" xfId="0" applyFill="1"/>
    <xf numFmtId="1" fontId="0" fillId="2" borderId="0" xfId="0" applyNumberFormat="1" applyFill="1"/>
    <xf numFmtId="1" fontId="2" fillId="2" borderId="0" xfId="0" applyNumberFormat="1"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 Dashboard by Danyal Javed.xlsm]Analsis!PivotTable2</c:name>
    <c:fmtId val="0"/>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bar"/>
        <c:grouping val="clustered"/>
        <c:varyColors val="0"/>
        <c:ser>
          <c:idx val="0"/>
          <c:order val="0"/>
          <c:tx>
            <c:strRef>
              <c:f>Analsis!$E$1</c:f>
              <c:strCache>
                <c:ptCount val="1"/>
                <c:pt idx="0">
                  <c:v>Total</c:v>
                </c:pt>
              </c:strCache>
            </c:strRef>
          </c:tx>
          <c:spPr>
            <a:solidFill>
              <a:schemeClr val="accent1"/>
            </a:solidFill>
            <a:ln>
              <a:noFill/>
            </a:ln>
            <a:effectLst/>
          </c:spPr>
          <c:invertIfNegative val="0"/>
          <c:cat>
            <c:strRef>
              <c:f>Analsis!$D$2:$D$4</c:f>
              <c:strCache>
                <c:ptCount val="3"/>
                <c:pt idx="0">
                  <c:v>Furniture</c:v>
                </c:pt>
                <c:pt idx="1">
                  <c:v>Office Supplies</c:v>
                </c:pt>
                <c:pt idx="2">
                  <c:v>Technology</c:v>
                </c:pt>
              </c:strCache>
            </c:strRef>
          </c:cat>
          <c:val>
            <c:numRef>
              <c:f>Analsis!$E$2:$E$4</c:f>
              <c:numCache>
                <c:formatCode>General</c:formatCode>
                <c:ptCount val="3"/>
                <c:pt idx="0">
                  <c:v>266118.78787878796</c:v>
                </c:pt>
                <c:pt idx="1">
                  <c:v>212354.51515151522</c:v>
                </c:pt>
                <c:pt idx="2">
                  <c:v>414811.03030303051</c:v>
                </c:pt>
              </c:numCache>
            </c:numRef>
          </c:val>
          <c:extLst>
            <c:ext xmlns:c16="http://schemas.microsoft.com/office/drawing/2014/chart" uri="{C3380CC4-5D6E-409C-BE32-E72D297353CC}">
              <c16:uniqueId val="{00000000-AB05-420B-B63F-477A7B5329A5}"/>
            </c:ext>
          </c:extLst>
        </c:ser>
        <c:dLbls>
          <c:showLegendKey val="0"/>
          <c:showVal val="0"/>
          <c:showCatName val="0"/>
          <c:showSerName val="0"/>
          <c:showPercent val="0"/>
          <c:showBubbleSize val="0"/>
        </c:dLbls>
        <c:gapWidth val="182"/>
        <c:axId val="1096937936"/>
        <c:axId val="1096938352"/>
      </c:barChart>
      <c:catAx>
        <c:axId val="10969379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6938352"/>
        <c:crosses val="autoZero"/>
        <c:auto val="1"/>
        <c:lblAlgn val="ctr"/>
        <c:lblOffset val="100"/>
        <c:noMultiLvlLbl val="0"/>
      </c:catAx>
      <c:valAx>
        <c:axId val="10969383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693793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 Dashboard by Danyal Javed.xlsm]Analsis!Sale-Trend</c:name>
    <c:fmtId val="2"/>
  </c:pivotSource>
  <c:chart>
    <c:autoTitleDeleted val="1"/>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57150" cap="rnd">
            <a:solidFill>
              <a:schemeClr val="accent1"/>
            </a:solidFill>
            <a:round/>
          </a:ln>
          <a:effectLst/>
        </c:spPr>
      </c:pivotFmt>
      <c:pivotFmt>
        <c:idx val="3"/>
        <c:spPr>
          <a:solidFill>
            <a:schemeClr val="accent1"/>
          </a:solidFill>
          <a:ln w="57150" cap="rnd">
            <a:solidFill>
              <a:schemeClr val="accent1"/>
            </a:solidFill>
            <a:round/>
          </a:ln>
          <a:effectLst/>
        </c:spPr>
        <c:marker>
          <c:symbol val="circle"/>
          <c:size val="5"/>
          <c:spPr>
            <a:solidFill>
              <a:schemeClr val="accent1"/>
            </a:solidFill>
            <a:ln w="60325">
              <a:solidFill>
                <a:schemeClr val="accent1"/>
              </a:solidFill>
            </a:ln>
            <a:effectLst/>
          </c:spPr>
        </c:marker>
      </c:pivotFmt>
      <c:pivotFmt>
        <c:idx val="4"/>
        <c:spPr>
          <a:ln w="34925" cap="rnd">
            <a:gradFill>
              <a:gsLst>
                <a:gs pos="100000">
                  <a:schemeClr val="accent1">
                    <a:lumMod val="45000"/>
                    <a:lumOff val="55000"/>
                  </a:schemeClr>
                </a:gs>
                <a:gs pos="93000">
                  <a:schemeClr val="accent1"/>
                </a:gs>
              </a:gsLst>
              <a:lin ang="5400000" scaled="1"/>
            </a:gradFill>
            <a:round/>
          </a:ln>
          <a:effectLst/>
        </c:spPr>
        <c:marker>
          <c:symbol val="circle"/>
          <c:size val="5"/>
          <c:spPr>
            <a:gradFill>
              <a:gsLst>
                <a:gs pos="0">
                  <a:schemeClr val="accent4">
                    <a:lumMod val="50000"/>
                  </a:schemeClr>
                </a:gs>
                <a:gs pos="28000">
                  <a:schemeClr val="accent4">
                    <a:lumMod val="75000"/>
                  </a:schemeClr>
                </a:gs>
                <a:gs pos="52000">
                  <a:schemeClr val="accent4">
                    <a:lumMod val="60000"/>
                    <a:lumOff val="40000"/>
                  </a:schemeClr>
                </a:gs>
                <a:gs pos="79000">
                  <a:schemeClr val="accent4">
                    <a:lumMod val="40000"/>
                    <a:lumOff val="60000"/>
                  </a:schemeClr>
                </a:gs>
              </a:gsLst>
              <a:lin ang="5400000" scaled="1"/>
            </a:gradFill>
            <a:ln w="9525">
              <a:solidFill>
                <a:schemeClr val="accent1"/>
              </a:solidFill>
            </a:ln>
            <a:effectLst/>
          </c:spPr>
        </c:marker>
      </c:pivotFmt>
    </c:pivotFmts>
    <c:plotArea>
      <c:layout/>
      <c:lineChart>
        <c:grouping val="stacked"/>
        <c:varyColors val="0"/>
        <c:ser>
          <c:idx val="0"/>
          <c:order val="0"/>
          <c:tx>
            <c:strRef>
              <c:f>Analsis!$B$1</c:f>
              <c:strCache>
                <c:ptCount val="1"/>
                <c:pt idx="0">
                  <c:v>Total</c:v>
                </c:pt>
              </c:strCache>
            </c:strRef>
          </c:tx>
          <c:spPr>
            <a:ln w="34925" cap="rnd">
              <a:gradFill>
                <a:gsLst>
                  <a:gs pos="100000">
                    <a:schemeClr val="accent1">
                      <a:lumMod val="45000"/>
                      <a:lumOff val="55000"/>
                    </a:schemeClr>
                  </a:gs>
                  <a:gs pos="93000">
                    <a:schemeClr val="accent1"/>
                  </a:gs>
                </a:gsLst>
                <a:lin ang="5400000" scaled="1"/>
              </a:gradFill>
              <a:round/>
            </a:ln>
            <a:effectLst/>
          </c:spPr>
          <c:marker>
            <c:symbol val="circle"/>
            <c:size val="5"/>
            <c:spPr>
              <a:gradFill>
                <a:gsLst>
                  <a:gs pos="0">
                    <a:schemeClr val="accent4">
                      <a:lumMod val="50000"/>
                    </a:schemeClr>
                  </a:gs>
                  <a:gs pos="28000">
                    <a:schemeClr val="accent4">
                      <a:lumMod val="75000"/>
                    </a:schemeClr>
                  </a:gs>
                  <a:gs pos="52000">
                    <a:schemeClr val="accent4">
                      <a:lumMod val="60000"/>
                      <a:lumOff val="40000"/>
                    </a:schemeClr>
                  </a:gs>
                  <a:gs pos="79000">
                    <a:schemeClr val="accent4">
                      <a:lumMod val="40000"/>
                      <a:lumOff val="60000"/>
                    </a:schemeClr>
                  </a:gs>
                </a:gsLst>
                <a:lin ang="5400000" scaled="1"/>
              </a:gradFill>
              <a:ln w="9525">
                <a:solidFill>
                  <a:schemeClr val="accent1"/>
                </a:solidFill>
              </a:ln>
              <a:effectLst/>
            </c:spPr>
          </c:marker>
          <c:cat>
            <c:strRef>
              <c:f>Analsis!$A$2:$A$6</c:f>
              <c:strCache>
                <c:ptCount val="5"/>
                <c:pt idx="0">
                  <c:v>2024</c:v>
                </c:pt>
                <c:pt idx="1">
                  <c:v>2025</c:v>
                </c:pt>
                <c:pt idx="2">
                  <c:v>2026</c:v>
                </c:pt>
                <c:pt idx="3">
                  <c:v>2027</c:v>
                </c:pt>
                <c:pt idx="4">
                  <c:v>2028</c:v>
                </c:pt>
              </c:strCache>
            </c:strRef>
          </c:cat>
          <c:val>
            <c:numRef>
              <c:f>Analsis!$B$2:$B$6</c:f>
              <c:numCache>
                <c:formatCode>General</c:formatCode>
                <c:ptCount val="5"/>
                <c:pt idx="0">
                  <c:v>245668</c:v>
                </c:pt>
                <c:pt idx="1">
                  <c:v>49451.484848484812</c:v>
                </c:pt>
                <c:pt idx="2">
                  <c:v>153706.66666666683</c:v>
                </c:pt>
                <c:pt idx="3">
                  <c:v>401283.63636363659</c:v>
                </c:pt>
                <c:pt idx="4">
                  <c:v>43174.5454545455</c:v>
                </c:pt>
              </c:numCache>
            </c:numRef>
          </c:val>
          <c:smooth val="0"/>
          <c:extLst>
            <c:ext xmlns:c16="http://schemas.microsoft.com/office/drawing/2014/chart" uri="{C3380CC4-5D6E-409C-BE32-E72D297353CC}">
              <c16:uniqueId val="{00000000-27A4-4927-B0BA-4C9A3BEA6E6D}"/>
            </c:ext>
          </c:extLst>
        </c:ser>
        <c:dLbls>
          <c:showLegendKey val="0"/>
          <c:showVal val="0"/>
          <c:showCatName val="0"/>
          <c:showSerName val="0"/>
          <c:showPercent val="0"/>
          <c:showBubbleSize val="0"/>
        </c:dLbls>
        <c:marker val="1"/>
        <c:smooth val="0"/>
        <c:axId val="1099338064"/>
        <c:axId val="1099350544"/>
      </c:lineChart>
      <c:catAx>
        <c:axId val="109933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1">
                    <a:lumMod val="75000"/>
                  </a:schemeClr>
                </a:solidFill>
                <a:latin typeface="+mn-lt"/>
                <a:ea typeface="+mn-ea"/>
                <a:cs typeface="+mn-cs"/>
              </a:defRPr>
            </a:pPr>
            <a:endParaRPr lang="en-US"/>
          </a:p>
        </c:txPr>
        <c:crossAx val="1099350544"/>
        <c:crosses val="autoZero"/>
        <c:auto val="1"/>
        <c:lblAlgn val="ctr"/>
        <c:lblOffset val="100"/>
        <c:noMultiLvlLbl val="0"/>
      </c:catAx>
      <c:valAx>
        <c:axId val="109935054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gradFill>
                  <a:gsLst>
                    <a:gs pos="0">
                      <a:schemeClr val="accent1">
                        <a:lumMod val="75000"/>
                      </a:schemeClr>
                    </a:gs>
                    <a:gs pos="74000">
                      <a:schemeClr val="accent1">
                        <a:lumMod val="75000"/>
                      </a:schemeClr>
                    </a:gs>
                  </a:gsLst>
                  <a:lin ang="5400000" scaled="1"/>
                </a:gradFill>
                <a:latin typeface="+mn-lt"/>
                <a:ea typeface="+mn-ea"/>
                <a:cs typeface="+mn-cs"/>
              </a:defRPr>
            </a:pPr>
            <a:endParaRPr lang="en-US"/>
          </a:p>
        </c:txPr>
        <c:crossAx val="1099338064"/>
        <c:crosses val="autoZero"/>
        <c:crossBetween val="between"/>
      </c:valAx>
      <c:spPr>
        <a:gradFill>
          <a:gsLst>
            <a:gs pos="0">
              <a:schemeClr val="accent1">
                <a:lumMod val="75000"/>
              </a:schemeClr>
            </a:gs>
            <a:gs pos="0">
              <a:schemeClr val="bg1"/>
            </a:gs>
          </a:gsLst>
          <a:lin ang="5400000" scaled="1"/>
        </a:gradFill>
        <a:ln w="25400">
          <a:noFill/>
        </a:ln>
        <a:effectLst/>
      </c:spPr>
    </c:plotArea>
    <c:plotVisOnly val="1"/>
    <c:dispBlanksAs val="gap"/>
    <c:showDLblsOverMax val="0"/>
  </c:chart>
  <c:spPr>
    <a:solidFill>
      <a:schemeClr val="bg1"/>
    </a:solidFill>
    <a:ln w="317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 Dashboard by Danyal Javed.xlsm]Analsis!PivotTable5</c:name>
    <c:fmtId val="2"/>
  </c:pivotSource>
  <c:chart>
    <c:autoTitleDeleted val="1"/>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cked"/>
        <c:varyColors val="0"/>
        <c:ser>
          <c:idx val="0"/>
          <c:order val="0"/>
          <c:tx>
            <c:strRef>
              <c:f>Analsis!$N$1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Analsis!$M$2:$M$5</c:f>
              <c:strCache>
                <c:ptCount val="4"/>
                <c:pt idx="0">
                  <c:v>East</c:v>
                </c:pt>
                <c:pt idx="1">
                  <c:v>North</c:v>
                </c:pt>
                <c:pt idx="2">
                  <c:v>South</c:v>
                </c:pt>
                <c:pt idx="3">
                  <c:v>West</c:v>
                </c:pt>
              </c:strCache>
            </c:strRef>
          </c:cat>
          <c:val>
            <c:numRef>
              <c:f>Analsis!$N$2:$N$5</c:f>
              <c:numCache>
                <c:formatCode>General</c:formatCode>
                <c:ptCount val="4"/>
                <c:pt idx="0">
                  <c:v>61984.54545454539</c:v>
                </c:pt>
                <c:pt idx="1">
                  <c:v>31018.181818181831</c:v>
                </c:pt>
                <c:pt idx="2">
                  <c:v>35232.727272727374</c:v>
                </c:pt>
                <c:pt idx="3">
                  <c:v>51604.84848484859</c:v>
                </c:pt>
              </c:numCache>
            </c:numRef>
          </c:val>
          <c:smooth val="0"/>
          <c:extLst>
            <c:ext xmlns:c16="http://schemas.microsoft.com/office/drawing/2014/chart" uri="{C3380CC4-5D6E-409C-BE32-E72D297353CC}">
              <c16:uniqueId val="{00000000-A9A5-4B75-9E9B-951E4BA59EB3}"/>
            </c:ext>
          </c:extLst>
        </c:ser>
        <c:dLbls>
          <c:showLegendKey val="0"/>
          <c:showVal val="0"/>
          <c:showCatName val="0"/>
          <c:showSerName val="0"/>
          <c:showPercent val="0"/>
          <c:showBubbleSize val="0"/>
        </c:dLbls>
        <c:marker val="1"/>
        <c:smooth val="0"/>
        <c:axId val="1163293680"/>
        <c:axId val="1163295344"/>
      </c:lineChart>
      <c:catAx>
        <c:axId val="1163293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1">
                    <a:lumMod val="75000"/>
                  </a:schemeClr>
                </a:solidFill>
                <a:latin typeface="+mn-lt"/>
                <a:ea typeface="+mn-ea"/>
                <a:cs typeface="+mn-cs"/>
              </a:defRPr>
            </a:pPr>
            <a:endParaRPr lang="en-US"/>
          </a:p>
        </c:txPr>
        <c:crossAx val="1163295344"/>
        <c:crosses val="autoZero"/>
        <c:auto val="1"/>
        <c:lblAlgn val="ctr"/>
        <c:lblOffset val="100"/>
        <c:noMultiLvlLbl val="0"/>
      </c:catAx>
      <c:valAx>
        <c:axId val="116329534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1">
                    <a:lumMod val="75000"/>
                  </a:schemeClr>
                </a:solidFill>
                <a:latin typeface="+mn-lt"/>
                <a:ea typeface="+mn-ea"/>
                <a:cs typeface="+mn-cs"/>
              </a:defRPr>
            </a:pPr>
            <a:endParaRPr lang="en-US"/>
          </a:p>
        </c:txPr>
        <c:crossAx val="1163293680"/>
        <c:crosses val="autoZero"/>
        <c:crossBetween val="between"/>
      </c:valAx>
      <c:spPr>
        <a:noFill/>
        <a:ln>
          <a:noFill/>
        </a:ln>
        <a:effectLst/>
      </c:spPr>
    </c:plotArea>
    <c:plotVisOnly val="1"/>
    <c:dispBlanksAs val="zero"/>
    <c:showDLblsOverMax val="0"/>
  </c:chart>
  <c:spPr>
    <a:gradFill>
      <a:gsLst>
        <a:gs pos="0">
          <a:schemeClr val="bg1"/>
        </a:gs>
        <a:gs pos="100000">
          <a:schemeClr val="bg1"/>
        </a:gs>
      </a:gsLst>
      <a:lin ang="5400000" scaled="1"/>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 Dashboard by Danyal Javed.xlsm]Analsis!PivotTable4</c:name>
    <c:fmtId val="2"/>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cked"/>
        <c:varyColors val="0"/>
        <c:ser>
          <c:idx val="0"/>
          <c:order val="0"/>
          <c:tx>
            <c:strRef>
              <c:f>Analsis!$K$1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Analsis!$J$2:$J$5</c:f>
              <c:strCache>
                <c:ptCount val="4"/>
                <c:pt idx="0">
                  <c:v>East</c:v>
                </c:pt>
                <c:pt idx="1">
                  <c:v>North</c:v>
                </c:pt>
                <c:pt idx="2">
                  <c:v>South</c:v>
                </c:pt>
                <c:pt idx="3">
                  <c:v>West</c:v>
                </c:pt>
              </c:strCache>
            </c:strRef>
          </c:cat>
          <c:val>
            <c:numRef>
              <c:f>Analsis!$K$2:$K$5</c:f>
              <c:numCache>
                <c:formatCode>General</c:formatCode>
                <c:ptCount val="4"/>
                <c:pt idx="0">
                  <c:v>0.4799999999999956</c:v>
                </c:pt>
                <c:pt idx="1">
                  <c:v>0.44666666666666233</c:v>
                </c:pt>
                <c:pt idx="2">
                  <c:v>0.63999999999999513</c:v>
                </c:pt>
                <c:pt idx="3">
                  <c:v>0.80952380952380598</c:v>
                </c:pt>
              </c:numCache>
            </c:numRef>
          </c:val>
          <c:smooth val="0"/>
          <c:extLst>
            <c:ext xmlns:c16="http://schemas.microsoft.com/office/drawing/2014/chart" uri="{C3380CC4-5D6E-409C-BE32-E72D297353CC}">
              <c16:uniqueId val="{00000000-FC23-4BD2-A932-092B3837AF54}"/>
            </c:ext>
          </c:extLst>
        </c:ser>
        <c:dLbls>
          <c:showLegendKey val="0"/>
          <c:showVal val="0"/>
          <c:showCatName val="0"/>
          <c:showSerName val="0"/>
          <c:showPercent val="0"/>
          <c:showBubbleSize val="0"/>
        </c:dLbls>
        <c:marker val="1"/>
        <c:smooth val="0"/>
        <c:axId val="1100814528"/>
        <c:axId val="1100815360"/>
      </c:lineChart>
      <c:catAx>
        <c:axId val="1100814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1">
                    <a:lumMod val="75000"/>
                  </a:schemeClr>
                </a:solidFill>
                <a:latin typeface="+mn-lt"/>
                <a:ea typeface="+mn-ea"/>
                <a:cs typeface="+mn-cs"/>
              </a:defRPr>
            </a:pPr>
            <a:endParaRPr lang="en-US"/>
          </a:p>
        </c:txPr>
        <c:crossAx val="1100815360"/>
        <c:crosses val="autoZero"/>
        <c:auto val="1"/>
        <c:lblAlgn val="ctr"/>
        <c:lblOffset val="100"/>
        <c:noMultiLvlLbl val="0"/>
      </c:catAx>
      <c:valAx>
        <c:axId val="11008153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1">
                    <a:lumMod val="75000"/>
                  </a:schemeClr>
                </a:solidFill>
                <a:latin typeface="+mn-lt"/>
                <a:ea typeface="+mn-ea"/>
                <a:cs typeface="+mn-cs"/>
              </a:defRPr>
            </a:pPr>
            <a:endParaRPr lang="en-US"/>
          </a:p>
        </c:txPr>
        <c:crossAx val="1100814528"/>
        <c:crosses val="autoZero"/>
        <c:crossBetween val="between"/>
      </c:valAx>
      <c:spPr>
        <a:noFill/>
        <a:ln>
          <a:noFill/>
        </a:ln>
        <a:effectLst/>
      </c:spPr>
    </c:plotArea>
    <c:plotVisOnly val="1"/>
    <c:dispBlanksAs val="zero"/>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 Dashboard by Danyal Javed.xlsm]Analsis!PivotTable4</c:name>
    <c:fmtId val="5"/>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By Region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pivotFmt>
      <c:pivotFmt>
        <c:idx val="3"/>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bg1"/>
          </a:solidFill>
          <a:ln>
            <a:noFill/>
          </a:ln>
          <a:effectLst/>
        </c:spPr>
        <c:marker>
          <c:symbol val="none"/>
        </c:marker>
      </c:pivotFmt>
    </c:pivotFmts>
    <c:plotArea>
      <c:layout/>
      <c:barChart>
        <c:barDir val="bar"/>
        <c:grouping val="clustered"/>
        <c:varyColors val="0"/>
        <c:ser>
          <c:idx val="0"/>
          <c:order val="0"/>
          <c:tx>
            <c:strRef>
              <c:f>Analsis!$K$1</c:f>
              <c:strCache>
                <c:ptCount val="1"/>
                <c:pt idx="0">
                  <c:v>Total</c:v>
                </c:pt>
              </c:strCache>
            </c:strRef>
          </c:tx>
          <c:spPr>
            <a:solidFill>
              <a:schemeClr val="bg1"/>
            </a:solidFill>
            <a:ln>
              <a:noFill/>
            </a:ln>
            <a:effectLst/>
          </c:spPr>
          <c:invertIfNegative val="0"/>
          <c:cat>
            <c:strRef>
              <c:f>Analsis!$J$2:$J$5</c:f>
              <c:strCache>
                <c:ptCount val="4"/>
                <c:pt idx="0">
                  <c:v>East</c:v>
                </c:pt>
                <c:pt idx="1">
                  <c:v>North</c:v>
                </c:pt>
                <c:pt idx="2">
                  <c:v>South</c:v>
                </c:pt>
                <c:pt idx="3">
                  <c:v>West</c:v>
                </c:pt>
              </c:strCache>
            </c:strRef>
          </c:cat>
          <c:val>
            <c:numRef>
              <c:f>Analsis!$K$2:$K$5</c:f>
              <c:numCache>
                <c:formatCode>General</c:formatCode>
                <c:ptCount val="4"/>
                <c:pt idx="0">
                  <c:v>0.4799999999999956</c:v>
                </c:pt>
                <c:pt idx="1">
                  <c:v>0.44666666666666233</c:v>
                </c:pt>
                <c:pt idx="2">
                  <c:v>0.63999999999999513</c:v>
                </c:pt>
                <c:pt idx="3">
                  <c:v>0.80952380952380598</c:v>
                </c:pt>
              </c:numCache>
            </c:numRef>
          </c:val>
          <c:extLst>
            <c:ext xmlns:c16="http://schemas.microsoft.com/office/drawing/2014/chart" uri="{C3380CC4-5D6E-409C-BE32-E72D297353CC}">
              <c16:uniqueId val="{00000000-95F5-4A5E-A266-7FC65E14BFD0}"/>
            </c:ext>
          </c:extLst>
        </c:ser>
        <c:dLbls>
          <c:showLegendKey val="0"/>
          <c:showVal val="0"/>
          <c:showCatName val="0"/>
          <c:showSerName val="0"/>
          <c:showPercent val="0"/>
          <c:showBubbleSize val="0"/>
        </c:dLbls>
        <c:gapWidth val="182"/>
        <c:axId val="236001792"/>
        <c:axId val="236002208"/>
      </c:barChart>
      <c:catAx>
        <c:axId val="2360017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36002208"/>
        <c:crosses val="autoZero"/>
        <c:auto val="1"/>
        <c:lblAlgn val="ctr"/>
        <c:lblOffset val="100"/>
        <c:noMultiLvlLbl val="0"/>
      </c:catAx>
      <c:valAx>
        <c:axId val="23600220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1">
                    <a:lumMod val="75000"/>
                  </a:schemeClr>
                </a:solidFill>
                <a:latin typeface="+mn-lt"/>
                <a:ea typeface="+mn-ea"/>
                <a:cs typeface="+mn-cs"/>
              </a:defRPr>
            </a:pPr>
            <a:endParaRPr lang="en-US"/>
          </a:p>
        </c:txPr>
        <c:crossAx val="236001792"/>
        <c:crosses val="autoZero"/>
        <c:crossBetween val="between"/>
      </c:valAx>
      <c:spPr>
        <a:noFill/>
        <a:ln>
          <a:noFill/>
        </a:ln>
        <a:effectLst/>
      </c:spPr>
    </c:plotArea>
    <c:plotVisOnly val="1"/>
    <c:dispBlanksAs val="gap"/>
    <c:showDLblsOverMax val="0"/>
  </c:chart>
  <c:spPr>
    <a:solidFill>
      <a:schemeClr val="accent1">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 Dashboard by Danyal Javed.xlsm]Analsis!Sale-Trend</c:name>
    <c:fmtId val="5"/>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Total Sale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bg1"/>
          </a:solidFill>
          <a:ln>
            <a:noFill/>
          </a:ln>
          <a:effectLst/>
        </c:spPr>
      </c:pivotFmt>
      <c:pivotFmt>
        <c:idx val="2"/>
        <c:spPr>
          <a:solidFill>
            <a:schemeClr val="bg1"/>
          </a:solidFill>
          <a:ln>
            <a:noFill/>
          </a:ln>
          <a:effectLst/>
        </c:spPr>
        <c:marker>
          <c:symbol val="none"/>
        </c:marker>
      </c:pivotFmt>
      <c:pivotFmt>
        <c:idx val="3"/>
        <c:spPr>
          <a:solidFill>
            <a:schemeClr val="bg1"/>
          </a:solidFill>
          <a:ln>
            <a:noFill/>
          </a:ln>
          <a:effectLst/>
        </c:spPr>
        <c:marker>
          <c:symbol val="none"/>
        </c:marker>
      </c:pivotFmt>
    </c:pivotFmts>
    <c:plotArea>
      <c:layout/>
      <c:barChart>
        <c:barDir val="bar"/>
        <c:grouping val="stacked"/>
        <c:varyColors val="0"/>
        <c:ser>
          <c:idx val="0"/>
          <c:order val="0"/>
          <c:tx>
            <c:strRef>
              <c:f>Analsis!$B$1</c:f>
              <c:strCache>
                <c:ptCount val="1"/>
                <c:pt idx="0">
                  <c:v>Total</c:v>
                </c:pt>
              </c:strCache>
            </c:strRef>
          </c:tx>
          <c:spPr>
            <a:solidFill>
              <a:schemeClr val="bg1"/>
            </a:solidFill>
            <a:ln>
              <a:noFill/>
            </a:ln>
            <a:effectLst/>
          </c:spPr>
          <c:invertIfNegative val="0"/>
          <c:cat>
            <c:strRef>
              <c:f>Analsis!$A$2:$A$6</c:f>
              <c:strCache>
                <c:ptCount val="5"/>
                <c:pt idx="0">
                  <c:v>2024</c:v>
                </c:pt>
                <c:pt idx="1">
                  <c:v>2025</c:v>
                </c:pt>
                <c:pt idx="2">
                  <c:v>2026</c:v>
                </c:pt>
                <c:pt idx="3">
                  <c:v>2027</c:v>
                </c:pt>
                <c:pt idx="4">
                  <c:v>2028</c:v>
                </c:pt>
              </c:strCache>
            </c:strRef>
          </c:cat>
          <c:val>
            <c:numRef>
              <c:f>Analsis!$B$2:$B$6</c:f>
              <c:numCache>
                <c:formatCode>General</c:formatCode>
                <c:ptCount val="5"/>
                <c:pt idx="0">
                  <c:v>245668</c:v>
                </c:pt>
                <c:pt idx="1">
                  <c:v>49451.484848484812</c:v>
                </c:pt>
                <c:pt idx="2">
                  <c:v>153706.66666666683</c:v>
                </c:pt>
                <c:pt idx="3">
                  <c:v>401283.63636363659</c:v>
                </c:pt>
                <c:pt idx="4">
                  <c:v>43174.5454545455</c:v>
                </c:pt>
              </c:numCache>
            </c:numRef>
          </c:val>
          <c:extLst>
            <c:ext xmlns:c16="http://schemas.microsoft.com/office/drawing/2014/chart" uri="{C3380CC4-5D6E-409C-BE32-E72D297353CC}">
              <c16:uniqueId val="{00000000-EB2C-4BD0-BB10-4FB027D1F7DA}"/>
            </c:ext>
          </c:extLst>
        </c:ser>
        <c:dLbls>
          <c:showLegendKey val="0"/>
          <c:showVal val="0"/>
          <c:showCatName val="0"/>
          <c:showSerName val="0"/>
          <c:showPercent val="0"/>
          <c:showBubbleSize val="0"/>
        </c:dLbls>
        <c:gapWidth val="150"/>
        <c:overlap val="100"/>
        <c:axId val="370596752"/>
        <c:axId val="370608400"/>
      </c:barChart>
      <c:catAx>
        <c:axId val="3705967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70608400"/>
        <c:crosses val="autoZero"/>
        <c:auto val="1"/>
        <c:lblAlgn val="ctr"/>
        <c:lblOffset val="100"/>
        <c:noMultiLvlLbl val="0"/>
      </c:catAx>
      <c:valAx>
        <c:axId val="3706084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70596752"/>
        <c:crosses val="autoZero"/>
        <c:crossBetween val="between"/>
      </c:valAx>
      <c:spPr>
        <a:noFill/>
        <a:ln>
          <a:noFill/>
        </a:ln>
        <a:effectLst/>
      </c:spPr>
    </c:plotArea>
    <c:plotVisOnly val="1"/>
    <c:dispBlanksAs val="gap"/>
    <c:showDLblsOverMax val="0"/>
  </c:chart>
  <c:spPr>
    <a:solidFill>
      <a:schemeClr val="accent1">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 Dashboard by Danyal Javed.xlsm]Analsis!PivotTable5</c:name>
    <c:fmtId val="6"/>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Profit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bg1"/>
          </a:solidFill>
          <a:ln>
            <a:noFill/>
          </a:ln>
          <a:effectLst/>
        </c:spPr>
      </c:pivotFmt>
      <c:pivotFmt>
        <c:idx val="2"/>
        <c:spPr>
          <a:solidFill>
            <a:schemeClr val="bg1"/>
          </a:solidFill>
          <a:ln>
            <a:noFill/>
          </a:ln>
          <a:effectLst/>
        </c:spPr>
        <c:marker>
          <c:symbol val="none"/>
        </c:marker>
      </c:pivotFmt>
      <c:pivotFmt>
        <c:idx val="3"/>
        <c:spPr>
          <a:solidFill>
            <a:schemeClr val="bg1"/>
          </a:solidFill>
          <a:ln>
            <a:noFill/>
          </a:ln>
          <a:effectLst/>
        </c:spPr>
        <c:marker>
          <c:symbol val="none"/>
        </c:marker>
      </c:pivotFmt>
    </c:pivotFmts>
    <c:plotArea>
      <c:layout/>
      <c:barChart>
        <c:barDir val="bar"/>
        <c:grouping val="stacked"/>
        <c:varyColors val="0"/>
        <c:ser>
          <c:idx val="0"/>
          <c:order val="0"/>
          <c:tx>
            <c:strRef>
              <c:f>Analsis!$N$1</c:f>
              <c:strCache>
                <c:ptCount val="1"/>
                <c:pt idx="0">
                  <c:v>Total</c:v>
                </c:pt>
              </c:strCache>
            </c:strRef>
          </c:tx>
          <c:spPr>
            <a:solidFill>
              <a:schemeClr val="bg1"/>
            </a:solidFill>
            <a:ln>
              <a:noFill/>
            </a:ln>
            <a:effectLst/>
          </c:spPr>
          <c:invertIfNegative val="0"/>
          <c:cat>
            <c:strRef>
              <c:f>Analsis!$M$2:$M$5</c:f>
              <c:strCache>
                <c:ptCount val="4"/>
                <c:pt idx="0">
                  <c:v>East</c:v>
                </c:pt>
                <c:pt idx="1">
                  <c:v>North</c:v>
                </c:pt>
                <c:pt idx="2">
                  <c:v>South</c:v>
                </c:pt>
                <c:pt idx="3">
                  <c:v>West</c:v>
                </c:pt>
              </c:strCache>
            </c:strRef>
          </c:cat>
          <c:val>
            <c:numRef>
              <c:f>Analsis!$N$2:$N$5</c:f>
              <c:numCache>
                <c:formatCode>General</c:formatCode>
                <c:ptCount val="4"/>
                <c:pt idx="0">
                  <c:v>61984.54545454539</c:v>
                </c:pt>
                <c:pt idx="1">
                  <c:v>31018.181818181831</c:v>
                </c:pt>
                <c:pt idx="2">
                  <c:v>35232.727272727374</c:v>
                </c:pt>
                <c:pt idx="3">
                  <c:v>51604.84848484859</c:v>
                </c:pt>
              </c:numCache>
            </c:numRef>
          </c:val>
          <c:extLst>
            <c:ext xmlns:c16="http://schemas.microsoft.com/office/drawing/2014/chart" uri="{C3380CC4-5D6E-409C-BE32-E72D297353CC}">
              <c16:uniqueId val="{00000000-A59A-4D73-A2B6-FD3DE6B2E7F2}"/>
            </c:ext>
          </c:extLst>
        </c:ser>
        <c:dLbls>
          <c:showLegendKey val="0"/>
          <c:showVal val="0"/>
          <c:showCatName val="0"/>
          <c:showSerName val="0"/>
          <c:showPercent val="0"/>
          <c:showBubbleSize val="0"/>
        </c:dLbls>
        <c:gapWidth val="150"/>
        <c:overlap val="100"/>
        <c:axId val="381160560"/>
        <c:axId val="381161392"/>
      </c:barChart>
      <c:catAx>
        <c:axId val="3811605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81161392"/>
        <c:crosses val="autoZero"/>
        <c:auto val="1"/>
        <c:lblAlgn val="ctr"/>
        <c:lblOffset val="100"/>
        <c:noMultiLvlLbl val="0"/>
      </c:catAx>
      <c:valAx>
        <c:axId val="38116139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81160560"/>
        <c:crosses val="autoZero"/>
        <c:crossBetween val="between"/>
      </c:valAx>
      <c:spPr>
        <a:noFill/>
        <a:ln>
          <a:noFill/>
        </a:ln>
        <a:effectLst/>
      </c:spPr>
    </c:plotArea>
    <c:plotVisOnly val="1"/>
    <c:dispBlanksAs val="gap"/>
    <c:showDLblsOverMax val="0"/>
  </c:chart>
  <c:spPr>
    <a:solidFill>
      <a:schemeClr val="accent1">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9</xdr:col>
      <xdr:colOff>238125</xdr:colOff>
      <xdr:row>23</xdr:row>
      <xdr:rowOff>95250</xdr:rowOff>
    </xdr:from>
    <xdr:to>
      <xdr:col>15</xdr:col>
      <xdr:colOff>574675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3</xdr:row>
      <xdr:rowOff>12700</xdr:rowOff>
    </xdr:from>
    <xdr:to>
      <xdr:col>3</xdr:col>
      <xdr:colOff>38100</xdr:colOff>
      <xdr:row>6</xdr:row>
      <xdr:rowOff>88900</xdr:rowOff>
    </xdr:to>
    <xdr:sp macro="" textlink="">
      <xdr:nvSpPr>
        <xdr:cNvPr id="6" name="Rectangle 5"/>
        <xdr:cNvSpPr/>
      </xdr:nvSpPr>
      <xdr:spPr>
        <a:xfrm>
          <a:off x="0" y="1295400"/>
          <a:ext cx="3155950" cy="62865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a:t> </a:t>
          </a:r>
          <a:r>
            <a:rPr lang="en-US" sz="2000" b="0"/>
            <a:t>Sale</a:t>
          </a:r>
        </a:p>
      </xdr:txBody>
    </xdr:sp>
    <xdr:clientData/>
  </xdr:twoCellAnchor>
  <xdr:twoCellAnchor>
    <xdr:from>
      <xdr:col>0</xdr:col>
      <xdr:colOff>0</xdr:colOff>
      <xdr:row>6</xdr:row>
      <xdr:rowOff>101600</xdr:rowOff>
    </xdr:from>
    <xdr:to>
      <xdr:col>3</xdr:col>
      <xdr:colOff>38100</xdr:colOff>
      <xdr:row>8</xdr:row>
      <xdr:rowOff>76200</xdr:rowOff>
    </xdr:to>
    <xdr:sp macro="" textlink="">
      <xdr:nvSpPr>
        <xdr:cNvPr id="7" name="Rectangle 6"/>
        <xdr:cNvSpPr/>
      </xdr:nvSpPr>
      <xdr:spPr>
        <a:xfrm>
          <a:off x="0" y="1936750"/>
          <a:ext cx="3155950" cy="3429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0">
              <a:solidFill>
                <a:schemeClr val="accent1">
                  <a:lumMod val="75000"/>
                </a:schemeClr>
              </a:solidFill>
            </a:rPr>
            <a:t>Trend</a:t>
          </a:r>
        </a:p>
      </xdr:txBody>
    </xdr:sp>
    <xdr:clientData/>
  </xdr:twoCellAnchor>
  <xdr:twoCellAnchor>
    <xdr:from>
      <xdr:col>0</xdr:col>
      <xdr:colOff>222250</xdr:colOff>
      <xdr:row>4</xdr:row>
      <xdr:rowOff>127000</xdr:rowOff>
    </xdr:from>
    <xdr:to>
      <xdr:col>2</xdr:col>
      <xdr:colOff>857250</xdr:colOff>
      <xdr:row>6</xdr:row>
      <xdr:rowOff>57150</xdr:rowOff>
    </xdr:to>
    <xdr:sp macro="" textlink="B3">
      <xdr:nvSpPr>
        <xdr:cNvPr id="15" name="Rectangle 14"/>
        <xdr:cNvSpPr/>
      </xdr:nvSpPr>
      <xdr:spPr>
        <a:xfrm>
          <a:off x="222250" y="1593850"/>
          <a:ext cx="2755900" cy="29845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fld id="{201A64E3-9998-4AB4-94E1-3DC89BB9FADF}" type="TxLink">
            <a:rPr lang="en-US" sz="1800" b="0" i="0" u="none" strike="noStrike">
              <a:solidFill>
                <a:schemeClr val="bg1"/>
              </a:solidFill>
              <a:latin typeface="Calibri"/>
              <a:ea typeface="Calibri"/>
              <a:cs typeface="Calibri"/>
            </a:rPr>
            <a:pPr algn="r"/>
            <a:t>893284</a:t>
          </a:fld>
          <a:endParaRPr lang="en-US" sz="1800">
            <a:solidFill>
              <a:schemeClr val="bg1"/>
            </a:solidFill>
          </a:endParaRPr>
        </a:p>
      </xdr:txBody>
    </xdr:sp>
    <xdr:clientData/>
  </xdr:twoCellAnchor>
  <xdr:twoCellAnchor>
    <xdr:from>
      <xdr:col>0</xdr:col>
      <xdr:colOff>482600</xdr:colOff>
      <xdr:row>4</xdr:row>
      <xdr:rowOff>165100</xdr:rowOff>
    </xdr:from>
    <xdr:to>
      <xdr:col>2</xdr:col>
      <xdr:colOff>622300</xdr:colOff>
      <xdr:row>5</xdr:row>
      <xdr:rowOff>0</xdr:rowOff>
    </xdr:to>
    <xdr:cxnSp macro="">
      <xdr:nvCxnSpPr>
        <xdr:cNvPr id="26" name="Straight Connector 25"/>
        <xdr:cNvCxnSpPr/>
      </xdr:nvCxnSpPr>
      <xdr:spPr>
        <a:xfrm flipV="1">
          <a:off x="482600" y="831850"/>
          <a:ext cx="2260600" cy="19050"/>
        </a:xfrm>
        <a:prstGeom prst="line">
          <a:avLst/>
        </a:prstGeom>
        <a:ln w="9525">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177800</xdr:colOff>
      <xdr:row>3</xdr:row>
      <xdr:rowOff>12700</xdr:rowOff>
    </xdr:from>
    <xdr:to>
      <xdr:col>7</xdr:col>
      <xdr:colOff>336550</xdr:colOff>
      <xdr:row>8</xdr:row>
      <xdr:rowOff>63500</xdr:rowOff>
    </xdr:to>
    <xdr:grpSp>
      <xdr:nvGrpSpPr>
        <xdr:cNvPr id="31" name="Group 30"/>
        <xdr:cNvGrpSpPr/>
      </xdr:nvGrpSpPr>
      <xdr:grpSpPr>
        <a:xfrm>
          <a:off x="3296771" y="1292038"/>
          <a:ext cx="3146985" cy="984624"/>
          <a:chOff x="3295650" y="508000"/>
          <a:chExt cx="3155950" cy="971550"/>
        </a:xfrm>
      </xdr:grpSpPr>
      <xdr:grpSp>
        <xdr:nvGrpSpPr>
          <xdr:cNvPr id="23" name="Group 22"/>
          <xdr:cNvGrpSpPr/>
        </xdr:nvGrpSpPr>
        <xdr:grpSpPr>
          <a:xfrm>
            <a:off x="3295650" y="508000"/>
            <a:ext cx="3155950" cy="971550"/>
            <a:chOff x="3295650" y="508000"/>
            <a:chExt cx="3155950" cy="971550"/>
          </a:xfrm>
        </xdr:grpSpPr>
        <xdr:sp macro="" textlink="">
          <xdr:nvSpPr>
            <xdr:cNvPr id="10" name="Rectangle 9"/>
            <xdr:cNvSpPr/>
          </xdr:nvSpPr>
          <xdr:spPr>
            <a:xfrm>
              <a:off x="3295650" y="508000"/>
              <a:ext cx="3155950" cy="61595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a:t> </a:t>
              </a:r>
              <a:r>
                <a:rPr lang="en-US" sz="2000" b="0"/>
                <a:t>Profit</a:t>
              </a:r>
              <a:r>
                <a:rPr lang="en-US" sz="2000" b="0" baseline="0"/>
                <a:t> Ratio</a:t>
              </a:r>
              <a:endParaRPr lang="en-US" sz="2000" b="0"/>
            </a:p>
          </xdr:txBody>
        </xdr:sp>
        <xdr:sp macro="" textlink="">
          <xdr:nvSpPr>
            <xdr:cNvPr id="11" name="Rectangle 10"/>
            <xdr:cNvSpPr/>
          </xdr:nvSpPr>
          <xdr:spPr>
            <a:xfrm>
              <a:off x="3295650" y="1136650"/>
              <a:ext cx="3155950" cy="3429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0">
                  <a:solidFill>
                    <a:schemeClr val="accent1">
                      <a:lumMod val="75000"/>
                    </a:schemeClr>
                  </a:solidFill>
                </a:rPr>
                <a:t>Trend</a:t>
              </a:r>
            </a:p>
          </xdr:txBody>
        </xdr:sp>
        <xdr:sp macro="" textlink="D3">
          <xdr:nvSpPr>
            <xdr:cNvPr id="18" name="Rectangle 17"/>
            <xdr:cNvSpPr/>
          </xdr:nvSpPr>
          <xdr:spPr>
            <a:xfrm>
              <a:off x="3454400" y="812800"/>
              <a:ext cx="2755900" cy="29845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fld id="{C38F4714-8AE6-4FBF-BF8D-CF26A85FCD70}" type="TxLink">
                <a:rPr lang="en-US" sz="1800" b="0" i="0" u="none" strike="noStrike">
                  <a:solidFill>
                    <a:schemeClr val="bg1"/>
                  </a:solidFill>
                  <a:latin typeface="Calibri"/>
                  <a:ea typeface="Calibri"/>
                  <a:cs typeface="Calibri"/>
                </a:rPr>
                <a:pPr algn="r"/>
                <a:t>179840</a:t>
              </a:fld>
              <a:endParaRPr lang="en-US" sz="1800">
                <a:solidFill>
                  <a:schemeClr val="bg1"/>
                </a:solidFill>
              </a:endParaRPr>
            </a:p>
          </xdr:txBody>
        </xdr:sp>
      </xdr:grpSp>
      <xdr:cxnSp macro="">
        <xdr:nvCxnSpPr>
          <xdr:cNvPr id="27" name="Straight Connector 26"/>
          <xdr:cNvCxnSpPr/>
        </xdr:nvCxnSpPr>
        <xdr:spPr>
          <a:xfrm flipV="1">
            <a:off x="3816350" y="850900"/>
            <a:ext cx="2260600" cy="19050"/>
          </a:xfrm>
          <a:prstGeom prst="line">
            <a:avLst/>
          </a:prstGeom>
          <a:ln w="9525">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469900</xdr:colOff>
      <xdr:row>3</xdr:row>
      <xdr:rowOff>12700</xdr:rowOff>
    </xdr:from>
    <xdr:to>
      <xdr:col>12</xdr:col>
      <xdr:colOff>577850</xdr:colOff>
      <xdr:row>8</xdr:row>
      <xdr:rowOff>63500</xdr:rowOff>
    </xdr:to>
    <xdr:grpSp>
      <xdr:nvGrpSpPr>
        <xdr:cNvPr id="32" name="Group 31"/>
        <xdr:cNvGrpSpPr/>
      </xdr:nvGrpSpPr>
      <xdr:grpSpPr>
        <a:xfrm>
          <a:off x="6577106" y="1292038"/>
          <a:ext cx="3142876" cy="984624"/>
          <a:chOff x="6584950" y="495300"/>
          <a:chExt cx="3155950" cy="971550"/>
        </a:xfrm>
      </xdr:grpSpPr>
      <xdr:grpSp>
        <xdr:nvGrpSpPr>
          <xdr:cNvPr id="24" name="Group 23"/>
          <xdr:cNvGrpSpPr/>
        </xdr:nvGrpSpPr>
        <xdr:grpSpPr>
          <a:xfrm>
            <a:off x="6584950" y="495300"/>
            <a:ext cx="3155950" cy="971550"/>
            <a:chOff x="6584950" y="495300"/>
            <a:chExt cx="3155950" cy="971550"/>
          </a:xfrm>
        </xdr:grpSpPr>
        <xdr:sp macro="" textlink="">
          <xdr:nvSpPr>
            <xdr:cNvPr id="13" name="Rectangle 12"/>
            <xdr:cNvSpPr/>
          </xdr:nvSpPr>
          <xdr:spPr>
            <a:xfrm>
              <a:off x="6584950" y="495300"/>
              <a:ext cx="3155950" cy="61595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a:t> </a:t>
              </a:r>
              <a:r>
                <a:rPr lang="en-US" sz="2000" b="0"/>
                <a:t>Day</a:t>
              </a:r>
              <a:r>
                <a:rPr lang="en-US" sz="2000" b="0" baseline="0"/>
                <a:t> to Ship</a:t>
              </a:r>
              <a:endParaRPr lang="en-US" sz="2000" b="0"/>
            </a:p>
          </xdr:txBody>
        </xdr:sp>
        <xdr:sp macro="" textlink="">
          <xdr:nvSpPr>
            <xdr:cNvPr id="14" name="Rectangle 13"/>
            <xdr:cNvSpPr/>
          </xdr:nvSpPr>
          <xdr:spPr>
            <a:xfrm>
              <a:off x="6584950" y="1123950"/>
              <a:ext cx="3155950" cy="3429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0">
                  <a:solidFill>
                    <a:schemeClr val="accent1">
                      <a:lumMod val="75000"/>
                    </a:schemeClr>
                  </a:solidFill>
                </a:rPr>
                <a:t>Trend</a:t>
              </a:r>
            </a:p>
          </xdr:txBody>
        </xdr:sp>
        <xdr:sp macro="" textlink="I3">
          <xdr:nvSpPr>
            <xdr:cNvPr id="19" name="Rectangle 18"/>
            <xdr:cNvSpPr/>
          </xdr:nvSpPr>
          <xdr:spPr>
            <a:xfrm>
              <a:off x="8477250" y="800100"/>
              <a:ext cx="1193800" cy="28575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fld id="{831A6C2C-69D6-403E-8A8E-E20C6540A25B}" type="TxLink">
                <a:rPr lang="en-US" sz="1800" b="0" i="0" u="none" strike="noStrike">
                  <a:solidFill>
                    <a:schemeClr val="bg1"/>
                  </a:solidFill>
                  <a:latin typeface="Calibri"/>
                  <a:ea typeface="Calibri"/>
                  <a:cs typeface="Calibri"/>
                </a:rPr>
                <a:pPr algn="r"/>
                <a:t>0.6</a:t>
              </a:fld>
              <a:endParaRPr lang="en-US" sz="1800">
                <a:solidFill>
                  <a:schemeClr val="bg1"/>
                </a:solidFill>
              </a:endParaRPr>
            </a:p>
          </xdr:txBody>
        </xdr:sp>
      </xdr:grpSp>
      <xdr:cxnSp macro="">
        <xdr:nvCxnSpPr>
          <xdr:cNvPr id="28" name="Straight Connector 27"/>
          <xdr:cNvCxnSpPr/>
        </xdr:nvCxnSpPr>
        <xdr:spPr>
          <a:xfrm flipV="1">
            <a:off x="7156450" y="831850"/>
            <a:ext cx="2374900" cy="25400"/>
          </a:xfrm>
          <a:prstGeom prst="line">
            <a:avLst/>
          </a:prstGeom>
          <a:ln w="9525">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0</xdr:colOff>
      <xdr:row>8</xdr:row>
      <xdr:rowOff>69850</xdr:rowOff>
    </xdr:from>
    <xdr:to>
      <xdr:col>3</xdr:col>
      <xdr:colOff>31750</xdr:colOff>
      <xdr:row>16</xdr:row>
      <xdr:rowOff>38100</xdr:rowOff>
    </xdr:to>
    <xdr:graphicFrame macro="">
      <xdr:nvGraphicFramePr>
        <xdr:cNvPr id="33"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165100</xdr:colOff>
      <xdr:row>8</xdr:row>
      <xdr:rowOff>57150</xdr:rowOff>
    </xdr:from>
    <xdr:to>
      <xdr:col>7</xdr:col>
      <xdr:colOff>342900</xdr:colOff>
      <xdr:row>16</xdr:row>
      <xdr:rowOff>63500</xdr:rowOff>
    </xdr:to>
    <xdr:graphicFrame macro="">
      <xdr:nvGraphicFramePr>
        <xdr:cNvPr id="34"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469900</xdr:colOff>
      <xdr:row>8</xdr:row>
      <xdr:rowOff>63500</xdr:rowOff>
    </xdr:from>
    <xdr:to>
      <xdr:col>12</xdr:col>
      <xdr:colOff>590550</xdr:colOff>
      <xdr:row>16</xdr:row>
      <xdr:rowOff>57150</xdr:rowOff>
    </xdr:to>
    <xdr:graphicFrame macro="">
      <xdr:nvGraphicFramePr>
        <xdr:cNvPr id="35" name="Chart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469900</xdr:colOff>
      <xdr:row>16</xdr:row>
      <xdr:rowOff>69850</xdr:rowOff>
    </xdr:from>
    <xdr:to>
      <xdr:col>12</xdr:col>
      <xdr:colOff>603250</xdr:colOff>
      <xdr:row>32</xdr:row>
      <xdr:rowOff>127000</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16</xdr:row>
      <xdr:rowOff>50800</xdr:rowOff>
    </xdr:from>
    <xdr:to>
      <xdr:col>3</xdr:col>
      <xdr:colOff>57150</xdr:colOff>
      <xdr:row>32</xdr:row>
      <xdr:rowOff>101600</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158750</xdr:colOff>
      <xdr:row>16</xdr:row>
      <xdr:rowOff>76200</xdr:rowOff>
    </xdr:from>
    <xdr:to>
      <xdr:col>7</xdr:col>
      <xdr:colOff>336550</xdr:colOff>
      <xdr:row>32</xdr:row>
      <xdr:rowOff>114300</xdr:rowOff>
    </xdr:to>
    <xdr:graphicFrame macro="">
      <xdr:nvGraphicFramePr>
        <xdr:cNvPr id="36"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0</xdr:colOff>
      <xdr:row>1</xdr:row>
      <xdr:rowOff>0</xdr:rowOff>
    </xdr:from>
    <xdr:to>
      <xdr:col>12</xdr:col>
      <xdr:colOff>571500</xdr:colOff>
      <xdr:row>2</xdr:row>
      <xdr:rowOff>285750</xdr:rowOff>
    </xdr:to>
    <mc:AlternateContent xmlns:mc="http://schemas.openxmlformats.org/markup-compatibility/2006" xmlns:a14="http://schemas.microsoft.com/office/drawing/2010/main">
      <mc:Choice Requires="a14">
        <xdr:graphicFrame macro="">
          <xdr:nvGraphicFramePr>
            <xdr:cNvPr id="37" name="City"/>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0" y="590550"/>
              <a:ext cx="9734550" cy="6794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6350</xdr:colOff>
      <xdr:row>0</xdr:row>
      <xdr:rowOff>12700</xdr:rowOff>
    </xdr:from>
    <xdr:to>
      <xdr:col>6</xdr:col>
      <xdr:colOff>508000</xdr:colOff>
      <xdr:row>0</xdr:row>
      <xdr:rowOff>584200</xdr:rowOff>
    </xdr:to>
    <xdr:sp macro="" textlink="">
      <xdr:nvSpPr>
        <xdr:cNvPr id="3" name="Rectangle 2"/>
        <xdr:cNvSpPr/>
      </xdr:nvSpPr>
      <xdr:spPr>
        <a:xfrm>
          <a:off x="6350" y="12700"/>
          <a:ext cx="6007100" cy="571500"/>
        </a:xfrm>
        <a:prstGeom prst="rect">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3200"/>
            <a:t>KPI</a:t>
          </a:r>
          <a:r>
            <a:rPr lang="en-US" sz="3200" baseline="0"/>
            <a:t> DASHBOARD</a:t>
          </a:r>
          <a:endParaRPr lang="en-US" sz="3200"/>
        </a:p>
      </xdr:txBody>
    </xdr:sp>
    <xdr:clientData/>
  </xdr:twoCellAnchor>
  <xdr:twoCellAnchor>
    <xdr:from>
      <xdr:col>2</xdr:col>
      <xdr:colOff>908050</xdr:colOff>
      <xdr:row>0</xdr:row>
      <xdr:rowOff>222250</xdr:rowOff>
    </xdr:from>
    <xdr:to>
      <xdr:col>3</xdr:col>
      <xdr:colOff>93980</xdr:colOff>
      <xdr:row>0</xdr:row>
      <xdr:rowOff>405130</xdr:rowOff>
    </xdr:to>
    <xdr:sp macro="" textlink="">
      <xdr:nvSpPr>
        <xdr:cNvPr id="4" name="Flowchart: Connector 3"/>
        <xdr:cNvSpPr/>
      </xdr:nvSpPr>
      <xdr:spPr>
        <a:xfrm>
          <a:off x="3028950" y="222250"/>
          <a:ext cx="182880" cy="182880"/>
        </a:xfrm>
        <a:prstGeom prst="flowChartConnector">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165100</xdr:colOff>
      <xdr:row>0</xdr:row>
      <xdr:rowOff>228600</xdr:rowOff>
    </xdr:from>
    <xdr:to>
      <xdr:col>3</xdr:col>
      <xdr:colOff>347980</xdr:colOff>
      <xdr:row>0</xdr:row>
      <xdr:rowOff>411480</xdr:rowOff>
    </xdr:to>
    <xdr:sp macro="" textlink="">
      <xdr:nvSpPr>
        <xdr:cNvPr id="38" name="Flowchart: Connector 37"/>
        <xdr:cNvSpPr/>
      </xdr:nvSpPr>
      <xdr:spPr>
        <a:xfrm>
          <a:off x="3282950" y="228600"/>
          <a:ext cx="182880" cy="182880"/>
        </a:xfrm>
        <a:prstGeom prst="flowChartConnector">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425450</xdr:colOff>
      <xdr:row>0</xdr:row>
      <xdr:rowOff>222250</xdr:rowOff>
    </xdr:from>
    <xdr:to>
      <xdr:col>3</xdr:col>
      <xdr:colOff>608330</xdr:colOff>
      <xdr:row>0</xdr:row>
      <xdr:rowOff>405130</xdr:rowOff>
    </xdr:to>
    <xdr:sp macro="" textlink="">
      <xdr:nvSpPr>
        <xdr:cNvPr id="39" name="Flowchart: Connector 38"/>
        <xdr:cNvSpPr/>
      </xdr:nvSpPr>
      <xdr:spPr>
        <a:xfrm>
          <a:off x="3543300" y="222250"/>
          <a:ext cx="182880" cy="182880"/>
        </a:xfrm>
        <a:prstGeom prst="flowChartConnector">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3</xdr:col>
      <xdr:colOff>704850</xdr:colOff>
      <xdr:row>0</xdr:row>
      <xdr:rowOff>25400</xdr:rowOff>
    </xdr:from>
    <xdr:ext cx="2006600" cy="444500"/>
    <xdr:sp macro="" textlink="">
      <xdr:nvSpPr>
        <xdr:cNvPr id="8" name="TextBox 7"/>
        <xdr:cNvSpPr txBox="1"/>
      </xdr:nvSpPr>
      <xdr:spPr>
        <a:xfrm>
          <a:off x="3822700" y="25400"/>
          <a:ext cx="2006600" cy="444500"/>
        </a:xfrm>
        <a:prstGeom prst="rect">
          <a:avLst/>
        </a:prstGeom>
        <a:solidFill>
          <a:schemeClr val="accent1">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3200">
              <a:solidFill>
                <a:schemeClr val="bg1"/>
              </a:solidFill>
            </a:rPr>
            <a:t>OVERVIEW</a:t>
          </a:r>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Hp" refreshedDate="46111.659572222219" createdVersion="6" refreshedVersion="6" minRefreshableVersion="3" recordCount="49">
  <cacheSource type="worksheet">
    <worksheetSource ref="A1:K50" sheet=" Data"/>
  </cacheSource>
  <cacheFields count="13">
    <cacheField name="Order ID" numFmtId="0">
      <sharedItems containsSemiMixedTypes="0" containsString="0" containsNumber="1" containsInteger="1" minValue="1001" maxValue="1049" count="49">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sharedItems>
    </cacheField>
    <cacheField name="Order Date" numFmtId="14">
      <sharedItems containsSemiMixedTypes="0" containsNonDate="0" containsDate="1" containsString="0" minDate="2024-01-01T00:00:00" maxDate="2028-01-02T00:00:00" count="49">
        <d v="2024-01-01T00:00:00"/>
        <d v="2024-02-01T00:00:00"/>
        <d v="2024-03-01T00:00:00"/>
        <d v="2024-04-01T00:00:00"/>
        <d v="2024-05-01T00:00:00"/>
        <d v="2024-06-01T00:00:00"/>
        <d v="2024-07-01T00:00:00"/>
        <d v="2024-08-01T00:00:00"/>
        <d v="2024-09-01T00:00:00"/>
        <d v="2024-10-01T00:00:00"/>
        <d v="2024-11-01T00:00:00"/>
        <d v="2024-12-01T00:00:00"/>
        <d v="2025-01-01T00:00:00"/>
        <d v="2025-02-01T00:00:00"/>
        <d v="2025-03-01T00:00:00"/>
        <d v="2025-04-01T00:00:00"/>
        <d v="2025-05-01T00:00:00"/>
        <d v="2025-06-01T00:00:00"/>
        <d v="2025-07-01T00:00:00"/>
        <d v="2025-08-01T00:00:00"/>
        <d v="2025-09-01T00:00:00"/>
        <d v="2025-10-01T00:00:00"/>
        <d v="2025-11-01T00:00:00"/>
        <d v="2025-12-01T00:00:00"/>
        <d v="2026-01-01T00:00:00"/>
        <d v="2026-02-01T00:00:00"/>
        <d v="2026-03-01T00:00:00"/>
        <d v="2026-04-01T00:00:00"/>
        <d v="2026-05-01T00:00:00"/>
        <d v="2026-06-01T00:00:00"/>
        <d v="2026-07-01T00:00:00"/>
        <d v="2026-08-01T00:00:00"/>
        <d v="2026-09-01T00:00:00"/>
        <d v="2026-10-01T00:00:00"/>
        <d v="2026-11-01T00:00:00"/>
        <d v="2026-12-01T00:00:00"/>
        <d v="2027-01-01T00:00:00"/>
        <d v="2027-02-01T00:00:00"/>
        <d v="2027-03-01T00:00:00"/>
        <d v="2027-04-01T00:00:00"/>
        <d v="2027-05-01T00:00:00"/>
        <d v="2027-06-01T00:00:00"/>
        <d v="2027-07-01T00:00:00"/>
        <d v="2027-08-01T00:00:00"/>
        <d v="2027-09-01T00:00:00"/>
        <d v="2027-10-01T00:00:00"/>
        <d v="2027-11-01T00:00:00"/>
        <d v="2027-12-01T00:00:00"/>
        <d v="2028-01-01T00:00:00"/>
      </sharedItems>
      <fieldGroup par="12" base="1">
        <rangePr groupBy="months" startDate="2024-01-01T00:00:00" endDate="2028-01-02T00:00:00"/>
        <groupItems count="14">
          <s v="&lt;1/1/2024"/>
          <s v="Jan"/>
          <s v="Feb"/>
          <s v="Mar"/>
          <s v="Apr"/>
          <s v="May"/>
          <s v="Jun"/>
          <s v="Jul"/>
          <s v="Aug"/>
          <s v="Sep"/>
          <s v="Oct"/>
          <s v="Nov"/>
          <s v="Dec"/>
          <s v="&gt;1/2/2028"/>
        </groupItems>
      </fieldGroup>
    </cacheField>
    <cacheField name="Region" numFmtId="0">
      <sharedItems count="4">
        <s v="East"/>
        <s v="West"/>
        <s v="North"/>
        <s v="South"/>
      </sharedItems>
    </cacheField>
    <cacheField name="City" numFmtId="0">
      <sharedItems count="6">
        <s v="Lahore"/>
        <s v="Karachi"/>
        <s v="Islamabad"/>
        <s v="Faisalabad"/>
        <s v="Multan"/>
        <s v="Rawalpindi"/>
      </sharedItems>
    </cacheField>
    <cacheField name="Category" numFmtId="0">
      <sharedItems count="3">
        <s v="Furniture"/>
        <s v="Technology"/>
        <s v="Office Supplies"/>
      </sharedItems>
    </cacheField>
    <cacheField name="Sub-Category" numFmtId="0">
      <sharedItems/>
    </cacheField>
    <cacheField name="Product Name" numFmtId="0">
      <sharedItems/>
    </cacheField>
    <cacheField name="Sales" numFmtId="0">
      <sharedItems containsSemiMixedTypes="0" containsString="0" containsNumber="1" minValue="-8730.3030303030901" maxValue="85000"/>
    </cacheField>
    <cacheField name="Quantity" numFmtId="0">
      <sharedItems containsSemiMixedTypes="0" containsString="0" containsNumber="1" minValue="1" maxValue="10"/>
    </cacheField>
    <cacheField name="Profit" numFmtId="0">
      <sharedItems containsSemiMixedTypes="0" containsString="0" containsNumber="1" minValue="-1185.7575757575801" maxValue="15000"/>
    </cacheField>
    <cacheField name="Ship Days" numFmtId="0">
      <sharedItems containsSemiMixedTypes="0" containsString="0" containsNumber="1" minValue="-2.6000000000000099" maxValue="6"/>
    </cacheField>
    <cacheField name="Quarters" numFmtId="0" databaseField="0">
      <fieldGroup base="1">
        <rangePr groupBy="quarters" startDate="2024-01-01T00:00:00" endDate="2028-01-02T00:00:00"/>
        <groupItems count="6">
          <s v="&lt;1/1/2024"/>
          <s v="Qtr1"/>
          <s v="Qtr2"/>
          <s v="Qtr3"/>
          <s v="Qtr4"/>
          <s v="&gt;1/2/2028"/>
        </groupItems>
      </fieldGroup>
    </cacheField>
    <cacheField name="Years" numFmtId="0" databaseField="0">
      <fieldGroup base="1">
        <rangePr groupBy="years" startDate="2024-01-01T00:00:00" endDate="2028-01-02T00:00:00"/>
        <groupItems count="7">
          <s v="&lt;1/1/2024"/>
          <s v="2024"/>
          <s v="2025"/>
          <s v="2026"/>
          <s v="2027"/>
          <s v="2028"/>
          <s v="&gt;1/2/2028"/>
        </groupItems>
      </fieldGroup>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49">
  <r>
    <x v="0"/>
    <x v="0"/>
    <x v="0"/>
    <x v="0"/>
    <x v="0"/>
    <s v="Chairs"/>
    <s v="Office Chair"/>
    <n v="12000"/>
    <n v="2"/>
    <n v="2000"/>
    <n v="3"/>
  </r>
  <r>
    <x v="1"/>
    <x v="1"/>
    <x v="1"/>
    <x v="1"/>
    <x v="1"/>
    <s v="Phones"/>
    <s v="Smartphone"/>
    <n v="45000"/>
    <n v="3"/>
    <n v="8000"/>
    <n v="5"/>
  </r>
  <r>
    <x v="2"/>
    <x v="2"/>
    <x v="2"/>
    <x v="2"/>
    <x v="2"/>
    <s v="Binders"/>
    <s v="Binder Set"/>
    <n v="3000"/>
    <n v="5"/>
    <n v="500"/>
    <n v="2"/>
  </r>
  <r>
    <x v="3"/>
    <x v="3"/>
    <x v="3"/>
    <x v="3"/>
    <x v="0"/>
    <s v="Tables"/>
    <s v="Wood Table"/>
    <n v="22000"/>
    <n v="1"/>
    <n v="4000"/>
    <n v="6"/>
  </r>
  <r>
    <x v="4"/>
    <x v="4"/>
    <x v="0"/>
    <x v="0"/>
    <x v="1"/>
    <s v="Laptops"/>
    <s v="Laptop"/>
    <n v="85000"/>
    <n v="2"/>
    <n v="15000"/>
    <n v="4"/>
  </r>
  <r>
    <x v="5"/>
    <x v="5"/>
    <x v="1"/>
    <x v="1"/>
    <x v="2"/>
    <s v="Paper"/>
    <s v="A4 Paper"/>
    <n v="2000"/>
    <n v="10"/>
    <n v="300"/>
    <n v="1"/>
  </r>
  <r>
    <x v="6"/>
    <x v="6"/>
    <x v="2"/>
    <x v="2"/>
    <x v="0"/>
    <s v="Chairs"/>
    <s v="Executive Chair"/>
    <n v="18000"/>
    <n v="2"/>
    <n v="3000"/>
    <n v="3"/>
  </r>
  <r>
    <x v="7"/>
    <x v="7"/>
    <x v="3"/>
    <x v="4"/>
    <x v="1"/>
    <s v="Accessories"/>
    <s v="Mouse"/>
    <n v="1500"/>
    <n v="4"/>
    <n v="200"/>
    <n v="2"/>
  </r>
  <r>
    <x v="8"/>
    <x v="8"/>
    <x v="0"/>
    <x v="0"/>
    <x v="2"/>
    <s v="Markers"/>
    <s v="Marker Set"/>
    <n v="1200"/>
    <n v="3"/>
    <n v="150"/>
    <n v="1"/>
  </r>
  <r>
    <x v="9"/>
    <x v="9"/>
    <x v="1"/>
    <x v="1"/>
    <x v="1"/>
    <s v="Phones"/>
    <s v="Tablet"/>
    <n v="30000"/>
    <n v="2"/>
    <n v="5000"/>
    <n v="5"/>
  </r>
  <r>
    <x v="10"/>
    <x v="10"/>
    <x v="0"/>
    <x v="0"/>
    <x v="0"/>
    <s v="Chairs"/>
    <s v="Office Chair"/>
    <n v="13733"/>
    <n v="3.6"/>
    <n v="2243.3333333333298"/>
    <n v="2.4666666666666601"/>
  </r>
  <r>
    <x v="11"/>
    <x v="11"/>
    <x v="1"/>
    <x v="1"/>
    <x v="1"/>
    <s v="Phones"/>
    <s v="Smartphone"/>
    <n v="12235"/>
    <n v="3.6363636363636398"/>
    <n v="1957.57575757575"/>
    <n v="2.3333333333333299"/>
  </r>
  <r>
    <x v="12"/>
    <x v="12"/>
    <x v="2"/>
    <x v="2"/>
    <x v="2"/>
    <s v="Binders"/>
    <s v="Binder Set"/>
    <n v="10738"/>
    <n v="3.6727272727272702"/>
    <n v="1671.8181818181799"/>
    <n v="2.2000000000000002"/>
  </r>
  <r>
    <x v="13"/>
    <x v="13"/>
    <x v="3"/>
    <x v="3"/>
    <x v="0"/>
    <s v="Tables"/>
    <s v="Wood Table"/>
    <n v="9240.6060606060091"/>
    <n v="3.7090909090909099"/>
    <n v="1386.0606060606001"/>
    <n v="2.0666666666666602"/>
  </r>
  <r>
    <x v="14"/>
    <x v="14"/>
    <x v="0"/>
    <x v="0"/>
    <x v="1"/>
    <s v="Laptops"/>
    <s v="Laptop"/>
    <n v="7743"/>
    <n v="3.74545454545455"/>
    <n v="1100.30303030303"/>
    <n v="1.93333333333333"/>
  </r>
  <r>
    <x v="15"/>
    <x v="15"/>
    <x v="1"/>
    <x v="1"/>
    <x v="2"/>
    <s v="Paper"/>
    <s v="A4 Paper"/>
    <n v="6245"/>
    <n v="3.78181818181818"/>
    <n v="814.545454545452"/>
    <n v="1.8"/>
  </r>
  <r>
    <x v="16"/>
    <x v="16"/>
    <x v="2"/>
    <x v="2"/>
    <x v="0"/>
    <s v="Chairs"/>
    <s v="Executive Chair"/>
    <n v="4747"/>
    <n v="3.8181818181818201"/>
    <n v="528.78787878787205"/>
    <n v="1.6666666666666601"/>
  </r>
  <r>
    <x v="17"/>
    <x v="17"/>
    <x v="3"/>
    <x v="4"/>
    <x v="1"/>
    <s v="Accessories"/>
    <s v="Mouse"/>
    <n v="3250"/>
    <n v="3.8545454545454598"/>
    <n v="243.03030303030201"/>
    <n v="1.5333333333333301"/>
  </r>
  <r>
    <x v="18"/>
    <x v="18"/>
    <x v="0"/>
    <x v="0"/>
    <x v="2"/>
    <s v="Markers"/>
    <s v="Marker Set"/>
    <n v="1752.72727272731"/>
    <n v="3.8909090909090902"/>
    <n v="-42.727272727278397"/>
    <n v="1.4"/>
  </r>
  <r>
    <x v="19"/>
    <x v="19"/>
    <x v="1"/>
    <x v="1"/>
    <x v="1"/>
    <s v="Phones"/>
    <s v="Tablet"/>
    <n v="255.151515151512"/>
    <n v="3.9272727272727299"/>
    <n v="328.48484848484799"/>
    <n v="1.2666666666666599"/>
  </r>
  <r>
    <x v="20"/>
    <x v="20"/>
    <x v="0"/>
    <x v="0"/>
    <x v="0"/>
    <s v="Chairs"/>
    <s v="Office Chair"/>
    <n v="1242.42424242429"/>
    <n v="3.9636363636363598"/>
    <n v="614.242424242428"/>
    <n v="1.13333333333333"/>
  </r>
  <r>
    <x v="21"/>
    <x v="21"/>
    <x v="1"/>
    <x v="1"/>
    <x v="1"/>
    <s v="Phones"/>
    <s v="Smartphone"/>
    <n v="2739.99999999999"/>
    <n v="4"/>
    <n v="900.00000000000796"/>
    <n v="1"/>
  </r>
  <r>
    <x v="22"/>
    <x v="22"/>
    <x v="2"/>
    <x v="2"/>
    <x v="2"/>
    <s v="Binders"/>
    <s v="Binder Set"/>
    <n v="-4237.5757575757898"/>
    <n v="4.0363636363636397"/>
    <n v="-1185.7575757575801"/>
    <n v="0.86666666666666103"/>
  </r>
  <r>
    <x v="23"/>
    <x v="23"/>
    <x v="3"/>
    <x v="3"/>
    <x v="0"/>
    <s v="Tables"/>
    <s v="Wood Table"/>
    <n v="5735.1515151514895"/>
    <n v="4.0727272727272696"/>
    <n v="1471.5151515151599"/>
    <n v="0.73333333333333095"/>
  </r>
  <r>
    <x v="24"/>
    <x v="24"/>
    <x v="0"/>
    <x v="0"/>
    <x v="1"/>
    <s v="Laptops"/>
    <s v="Laptop"/>
    <n v="-7232.7272727272903"/>
    <n v="4.1090909090909102"/>
    <n v="1757.27272727273"/>
    <n v="0.60000000000000098"/>
  </r>
  <r>
    <x v="25"/>
    <x v="25"/>
    <x v="1"/>
    <x v="1"/>
    <x v="2"/>
    <s v="Paper"/>
    <s v="A4 Paper"/>
    <n v="-8730.3030303030901"/>
    <n v="4.1454545454545499"/>
    <n v="2043.0303030303101"/>
    <n v="0.46666666666666101"/>
  </r>
  <r>
    <x v="26"/>
    <x v="26"/>
    <x v="2"/>
    <x v="5"/>
    <x v="0"/>
    <s v="Chairs"/>
    <s v="Executive Chair"/>
    <n v="10227.878787878801"/>
    <n v="4.1818181818181799"/>
    <n v="2328.7878787878899"/>
    <n v="0.33333333333333098"/>
  </r>
  <r>
    <x v="27"/>
    <x v="27"/>
    <x v="3"/>
    <x v="4"/>
    <x v="1"/>
    <s v="Accessories"/>
    <s v="Mouse"/>
    <n v="11725.454545454601"/>
    <n v="4.2181818181818196"/>
    <n v="2614.54545454546"/>
    <n v="0.20000000000000101"/>
  </r>
  <r>
    <x v="28"/>
    <x v="28"/>
    <x v="0"/>
    <x v="0"/>
    <x v="2"/>
    <s v="Markers"/>
    <s v="Marker Set"/>
    <n v="13223.0303030303"/>
    <n v="4.2545454545454602"/>
    <n v="2900.30303030304"/>
    <n v="6.6666666666660698E-2"/>
  </r>
  <r>
    <x v="29"/>
    <x v="29"/>
    <x v="1"/>
    <x v="1"/>
    <x v="1"/>
    <s v="Phones"/>
    <s v="Tablet"/>
    <n v="14720.6060606061"/>
    <n v="4.2909090909090999"/>
    <n v="3186.0606060606101"/>
    <n v="-6.6666666666669094E-2"/>
  </r>
  <r>
    <x v="30"/>
    <x v="30"/>
    <x v="0"/>
    <x v="0"/>
    <x v="0"/>
    <s v="Chairs"/>
    <s v="Office Chair"/>
    <n v="16218.1818181818"/>
    <n v="4.3272727272727298"/>
    <n v="3471.8181818181902"/>
    <n v="-0.200000000000009"/>
  </r>
  <r>
    <x v="31"/>
    <x v="31"/>
    <x v="1"/>
    <x v="1"/>
    <x v="1"/>
    <s v="Phones"/>
    <s v="Smartphone"/>
    <n v="17715.757575757601"/>
    <n v="4.3636363636363704"/>
    <n v="3757.5757575757698"/>
    <n v="-0.33333333333333898"/>
  </r>
  <r>
    <x v="32"/>
    <x v="32"/>
    <x v="2"/>
    <x v="5"/>
    <x v="2"/>
    <s v="Binders"/>
    <s v="Binder Set"/>
    <n v="19213.333333333401"/>
    <n v="4.4000000000000004"/>
    <n v="4043.3333333333399"/>
    <n v="-0.46666666666666901"/>
  </r>
  <r>
    <x v="33"/>
    <x v="33"/>
    <x v="3"/>
    <x v="3"/>
    <x v="0"/>
    <s v="Tables"/>
    <s v="Wood Table"/>
    <n v="20710.909090909099"/>
    <n v="4.4363636363636401"/>
    <n v="4329.0909090909199"/>
    <n v="-0.60000000000000897"/>
  </r>
  <r>
    <x v="34"/>
    <x v="34"/>
    <x v="0"/>
    <x v="0"/>
    <x v="1"/>
    <s v="Laptops"/>
    <s v="Laptop"/>
    <n v="22208.484848484899"/>
    <n v="4.4727272727272798"/>
    <n v="4614.8484848484904"/>
    <n v="-0.73333333333334005"/>
  </r>
  <r>
    <x v="35"/>
    <x v="35"/>
    <x v="1"/>
    <x v="1"/>
    <x v="2"/>
    <s v="Paper"/>
    <s v="A4 Paper"/>
    <n v="23706.060606060601"/>
    <n v="4.5090909090909097"/>
    <n v="4900.6060606061101"/>
    <n v="-0.86666666666666903"/>
  </r>
  <r>
    <x v="36"/>
    <x v="36"/>
    <x v="2"/>
    <x v="2"/>
    <x v="0"/>
    <s v="Chairs"/>
    <s v="Executive Chair"/>
    <n v="25203.6363636364"/>
    <n v="4.5454545454545503"/>
    <n v="5186.3636363636097"/>
    <n v="-1.00000000000001"/>
  </r>
  <r>
    <x v="37"/>
    <x v="37"/>
    <x v="3"/>
    <x v="4"/>
    <x v="1"/>
    <s v="Accessories"/>
    <s v="Mouse"/>
    <n v="26701.212121212098"/>
    <n v="4.58181818181819"/>
    <n v="5472.1212121212102"/>
    <n v="-1.13333333333334"/>
  </r>
  <r>
    <x v="38"/>
    <x v="38"/>
    <x v="0"/>
    <x v="0"/>
    <x v="2"/>
    <s v="Markers"/>
    <s v="Marker Set"/>
    <n v="28198.787878787902"/>
    <n v="4.6181818181818199"/>
    <n v="5757.8787878788098"/>
    <n v="-1.2666666666666699"/>
  </r>
  <r>
    <x v="39"/>
    <x v="39"/>
    <x v="1"/>
    <x v="1"/>
    <x v="1"/>
    <s v="Phones"/>
    <s v="Tablet"/>
    <n v="29696.363636363702"/>
    <n v="4.6545454545454596"/>
    <n v="6043.6363636364104"/>
    <n v="-1.4000000000000099"/>
  </r>
  <r>
    <x v="40"/>
    <x v="40"/>
    <x v="0"/>
    <x v="0"/>
    <x v="0"/>
    <s v="Chairs"/>
    <s v="Office Chair"/>
    <n v="31193.939393939399"/>
    <n v="4.6909090909091002"/>
    <n v="6329.3939393939099"/>
    <n v="-1.5333333333333401"/>
  </r>
  <r>
    <x v="41"/>
    <x v="41"/>
    <x v="1"/>
    <x v="1"/>
    <x v="1"/>
    <s v="Phones"/>
    <s v="Smartphone"/>
    <n v="32691.515151515199"/>
    <n v="4.7272727272727302"/>
    <n v="6615.1515151515096"/>
    <n v="-1.6666666666666701"/>
  </r>
  <r>
    <x v="42"/>
    <x v="42"/>
    <x v="2"/>
    <x v="2"/>
    <x v="2"/>
    <s v="Binders"/>
    <s v="Binder Set"/>
    <n v="34189.090909090897"/>
    <n v="4.7636363636363699"/>
    <n v="6900.9090909091101"/>
    <n v="-1.80000000000001"/>
  </r>
  <r>
    <x v="43"/>
    <x v="43"/>
    <x v="3"/>
    <x v="3"/>
    <x v="0"/>
    <s v="Tables"/>
    <s v="Wood Table"/>
    <n v="35686.666666666701"/>
    <n v="4.8"/>
    <n v="7186.6666666667097"/>
    <n v="-1.93333333333334"/>
  </r>
  <r>
    <x v="44"/>
    <x v="44"/>
    <x v="0"/>
    <x v="0"/>
    <x v="1"/>
    <s v="Laptops"/>
    <s v="Laptop"/>
    <n v="37184.242424242402"/>
    <n v="4.8363636363636404"/>
    <n v="7472.4242424242102"/>
    <n v="-2.0666666666666802"/>
  </r>
  <r>
    <x v="45"/>
    <x v="45"/>
    <x v="1"/>
    <x v="1"/>
    <x v="2"/>
    <s v="Paper"/>
    <s v="A4 Paper"/>
    <n v="38681.818181818198"/>
    <n v="4.8727272727272801"/>
    <n v="7758.1818181818098"/>
    <n v="-2.2000000000000099"/>
  </r>
  <r>
    <x v="46"/>
    <x v="46"/>
    <x v="2"/>
    <x v="5"/>
    <x v="0"/>
    <s v="Chairs"/>
    <s v="Executive Chair"/>
    <n v="40179.393939394002"/>
    <n v="4.9090909090909101"/>
    <n v="8043.9393939394104"/>
    <n v="-2.3333333333333401"/>
  </r>
  <r>
    <x v="47"/>
    <x v="47"/>
    <x v="3"/>
    <x v="4"/>
    <x v="1"/>
    <s v="Accessories"/>
    <s v="Mouse"/>
    <n v="41676.969696969703"/>
    <n v="4.9454545454545498"/>
    <n v="8329.69696969701"/>
    <n v="-2.4666666666666801"/>
  </r>
  <r>
    <x v="48"/>
    <x v="48"/>
    <x v="0"/>
    <x v="0"/>
    <x v="2"/>
    <s v="Markers"/>
    <s v="Marker Set"/>
    <n v="43174.5454545455"/>
    <n v="4.9818181818181904"/>
    <n v="8615.4545454545096"/>
    <n v="-2.60000000000000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rowGrandTotals="0" itemPrintTitles="1" createdVersion="6" indent="0" outline="1" outlineData="1" multipleFieldFilters="0" chartFormat="7" rowHeaderCaption="Region">
  <location ref="M1:N5" firstHeaderRow="1" firstDataRow="1" firstDataCol="1"/>
  <pivotFields count="13">
    <pivotField showAll="0">
      <items count="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t="default"/>
      </items>
    </pivotField>
    <pivotField numFmtId="14" showAll="0">
      <items count="15">
        <item x="0"/>
        <item x="1"/>
        <item x="2"/>
        <item x="3"/>
        <item x="4"/>
        <item x="5"/>
        <item x="6"/>
        <item x="7"/>
        <item x="8"/>
        <item x="9"/>
        <item x="10"/>
        <item x="11"/>
        <item x="12"/>
        <item x="13"/>
        <item t="default"/>
      </items>
    </pivotField>
    <pivotField axis="axisRow" showAll="0">
      <items count="5">
        <item x="0"/>
        <item x="2"/>
        <item x="3"/>
        <item x="1"/>
        <item t="default"/>
      </items>
    </pivotField>
    <pivotField showAll="0">
      <items count="7">
        <item x="3"/>
        <item x="2"/>
        <item x="1"/>
        <item x="0"/>
        <item x="4"/>
        <item x="5"/>
        <item t="default"/>
      </items>
    </pivotField>
    <pivotField showAll="0">
      <items count="4">
        <item x="0"/>
        <item x="2"/>
        <item x="1"/>
        <item t="default"/>
      </items>
    </pivotField>
    <pivotField showAll="0"/>
    <pivotField showAll="0"/>
    <pivotField showAll="0"/>
    <pivotField showAll="0"/>
    <pivotField dataField="1" showAll="0"/>
    <pivotField showAll="0"/>
    <pivotField showAll="0" defaultSubtotal="0">
      <items count="6">
        <item x="0"/>
        <item x="1"/>
        <item x="2"/>
        <item x="3"/>
        <item x="4"/>
        <item x="5"/>
      </items>
    </pivotField>
    <pivotField showAll="0" defaultSubtotal="0">
      <items count="7">
        <item x="0"/>
        <item x="1"/>
        <item x="2"/>
        <item x="3"/>
        <item x="4"/>
        <item x="5"/>
        <item x="6"/>
      </items>
    </pivotField>
  </pivotFields>
  <rowFields count="1">
    <field x="2"/>
  </rowFields>
  <rowItems count="4">
    <i>
      <x/>
    </i>
    <i>
      <x v="1"/>
    </i>
    <i>
      <x v="2"/>
    </i>
    <i>
      <x v="3"/>
    </i>
  </rowItems>
  <colItems count="1">
    <i/>
  </colItems>
  <dataFields count="1">
    <dataField name="Sum of Profit" fld="9" baseField="0" baseItem="0"/>
  </dataFields>
  <chartFormats count="3">
    <chartFormat chart="2" format="2"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6"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rowGrandTotals="0" itemPrintTitles="1" createdVersion="6" indent="0" outline="1" outlineData="1" multipleFieldFilters="0" chartFormat="6" rowHeaderCaption="Region">
  <location ref="J1:K5" firstHeaderRow="1" firstDataRow="1" firstDataCol="1"/>
  <pivotFields count="13">
    <pivotField showAll="0">
      <items count="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t="default"/>
      </items>
    </pivotField>
    <pivotField numFmtId="14" showAll="0">
      <items count="15">
        <item x="0"/>
        <item x="1"/>
        <item x="2"/>
        <item x="3"/>
        <item x="4"/>
        <item x="5"/>
        <item x="6"/>
        <item x="7"/>
        <item x="8"/>
        <item x="9"/>
        <item x="10"/>
        <item x="11"/>
        <item x="12"/>
        <item x="13"/>
        <item t="default"/>
      </items>
    </pivotField>
    <pivotField axis="axisRow" showAll="0">
      <items count="5">
        <item x="0"/>
        <item x="2"/>
        <item x="3"/>
        <item x="1"/>
        <item t="default"/>
      </items>
    </pivotField>
    <pivotField showAll="0">
      <items count="7">
        <item x="3"/>
        <item x="2"/>
        <item x="1"/>
        <item x="0"/>
        <item x="4"/>
        <item x="5"/>
        <item t="default"/>
      </items>
    </pivotField>
    <pivotField showAll="0">
      <items count="4">
        <item x="0"/>
        <item x="2"/>
        <item x="1"/>
        <item t="default"/>
      </items>
    </pivotField>
    <pivotField showAll="0"/>
    <pivotField showAll="0"/>
    <pivotField showAll="0"/>
    <pivotField showAll="0"/>
    <pivotField showAll="0"/>
    <pivotField dataField="1" showAll="0"/>
    <pivotField showAll="0" defaultSubtotal="0">
      <items count="6">
        <item x="0"/>
        <item x="1"/>
        <item x="2"/>
        <item x="3"/>
        <item x="4"/>
        <item x="5"/>
      </items>
    </pivotField>
    <pivotField showAll="0" defaultSubtotal="0">
      <items count="7">
        <item x="0"/>
        <item x="1"/>
        <item x="2"/>
        <item x="3"/>
        <item x="4"/>
        <item x="5"/>
        <item x="6"/>
      </items>
    </pivotField>
  </pivotFields>
  <rowFields count="1">
    <field x="2"/>
  </rowFields>
  <rowItems count="4">
    <i>
      <x/>
    </i>
    <i>
      <x v="1"/>
    </i>
    <i>
      <x v="2"/>
    </i>
    <i>
      <x v="3"/>
    </i>
  </rowItems>
  <colItems count="1">
    <i/>
  </colItems>
  <dataFields count="1">
    <dataField name="Average of Ship Days" fld="10" subtotal="average" baseField="2" baseItem="0"/>
  </dataFields>
  <chartFormats count="4">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rowGrandTotals="0" itemPrintTitles="1" createdVersion="6" indent="0" outline="1" outlineData="1" multipleFieldFilters="0" chartFormat="1">
  <location ref="G1:H5" firstHeaderRow="1" firstDataRow="1" firstDataCol="1"/>
  <pivotFields count="13">
    <pivotField showAll="0" measureFilter="1">
      <items count="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t="default"/>
      </items>
    </pivotField>
    <pivotField numFmtId="14" showAll="0">
      <items count="15">
        <item x="0"/>
        <item x="1"/>
        <item x="2"/>
        <item x="3"/>
        <item x="4"/>
        <item x="5"/>
        <item x="6"/>
        <item x="7"/>
        <item x="8"/>
        <item x="9"/>
        <item x="10"/>
        <item x="11"/>
        <item x="12"/>
        <item x="13"/>
        <item t="default"/>
      </items>
    </pivotField>
    <pivotField axis="axisRow" showAll="0">
      <items count="5">
        <item x="0"/>
        <item x="2"/>
        <item x="3"/>
        <item x="1"/>
        <item t="default"/>
      </items>
    </pivotField>
    <pivotField showAll="0">
      <items count="7">
        <item x="3"/>
        <item x="2"/>
        <item x="1"/>
        <item x="0"/>
        <item x="4"/>
        <item x="5"/>
        <item t="default"/>
      </items>
    </pivotField>
    <pivotField showAll="0">
      <items count="4">
        <item x="0"/>
        <item x="2"/>
        <item x="1"/>
        <item t="default"/>
      </items>
    </pivotField>
    <pivotField showAll="0"/>
    <pivotField showAll="0"/>
    <pivotField dataField="1" showAll="0"/>
    <pivotField showAll="0"/>
    <pivotField showAll="0"/>
    <pivotField showAll="0"/>
    <pivotField showAll="0" defaultSubtotal="0">
      <items count="6">
        <item x="0"/>
        <item x="1"/>
        <item x="2"/>
        <item x="3"/>
        <item x="4"/>
        <item x="5"/>
      </items>
    </pivotField>
    <pivotField showAll="0" defaultSubtotal="0">
      <items count="7">
        <item x="0"/>
        <item x="1"/>
        <item x="2"/>
        <item x="3"/>
        <item x="4"/>
        <item x="5"/>
        <item x="6"/>
      </items>
    </pivotField>
  </pivotFields>
  <rowFields count="1">
    <field x="2"/>
  </rowFields>
  <rowItems count="4">
    <i>
      <x/>
    </i>
    <i>
      <x v="1"/>
    </i>
    <i>
      <x v="2"/>
    </i>
    <i>
      <x v="3"/>
    </i>
  </rowItems>
  <colItems count="1">
    <i/>
  </colItems>
  <dataFields count="1">
    <dataField name="Sum of Sales" fld="7" baseField="0" baseItem="0"/>
  </dataField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rowGrandTotals="0" itemPrintTitles="1" createdVersion="6" indent="0" outline="1" outlineData="1" multipleFieldFilters="0" chartFormat="1">
  <location ref="D1:E4" firstHeaderRow="1" firstDataRow="1" firstDataCol="1"/>
  <pivotFields count="13">
    <pivotField showAll="0" measureFilter="1">
      <items count="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t="default"/>
      </items>
    </pivotField>
    <pivotField numFmtId="14" showAll="0">
      <items count="15">
        <item x="0"/>
        <item x="1"/>
        <item x="2"/>
        <item x="3"/>
        <item x="4"/>
        <item x="5"/>
        <item x="6"/>
        <item x="7"/>
        <item x="8"/>
        <item x="9"/>
        <item x="10"/>
        <item x="11"/>
        <item x="12"/>
        <item x="13"/>
        <item t="default"/>
      </items>
    </pivotField>
    <pivotField showAll="0">
      <items count="5">
        <item x="0"/>
        <item x="2"/>
        <item x="3"/>
        <item x="1"/>
        <item t="default"/>
      </items>
    </pivotField>
    <pivotField showAll="0">
      <items count="7">
        <item x="3"/>
        <item x="2"/>
        <item x="1"/>
        <item x="0"/>
        <item x="4"/>
        <item x="5"/>
        <item t="default"/>
      </items>
    </pivotField>
    <pivotField axis="axisRow" showAll="0">
      <items count="4">
        <item x="0"/>
        <item x="2"/>
        <item x="1"/>
        <item t="default"/>
      </items>
    </pivotField>
    <pivotField showAll="0"/>
    <pivotField showAll="0"/>
    <pivotField dataField="1" showAll="0"/>
    <pivotField showAll="0"/>
    <pivotField showAll="0"/>
    <pivotField showAll="0"/>
    <pivotField showAll="0" defaultSubtotal="0">
      <items count="6">
        <item x="0"/>
        <item x="1"/>
        <item x="2"/>
        <item x="3"/>
        <item x="4"/>
        <item x="5"/>
      </items>
    </pivotField>
    <pivotField showAll="0" defaultSubtotal="0">
      <items count="7">
        <item x="0"/>
        <item x="1"/>
        <item x="2"/>
        <item x="3"/>
        <item x="4"/>
        <item x="5"/>
        <item x="6"/>
      </items>
    </pivotField>
  </pivotFields>
  <rowFields count="1">
    <field x="4"/>
  </rowFields>
  <rowItems count="3">
    <i>
      <x/>
    </i>
    <i>
      <x v="1"/>
    </i>
    <i>
      <x v="2"/>
    </i>
  </rowItems>
  <colItems count="1">
    <i/>
  </colItems>
  <dataFields count="1">
    <dataField name="Sum of Sales" fld="7"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Sale-Trend" cacheId="0" applyNumberFormats="0" applyBorderFormats="0" applyFontFormats="0" applyPatternFormats="0" applyAlignmentFormats="0" applyWidthHeightFormats="1" dataCaption="Values" updatedVersion="6" minRefreshableVersion="3" rowGrandTotals="0" itemPrintTitles="1" createdVersion="6" indent="0" outline="1" outlineData="1" multipleFieldFilters="0" chartFormat="6" rowHeaderCaption="Order Date">
  <location ref="A1:B6" firstHeaderRow="1" firstDataRow="1" firstDataCol="1"/>
  <pivotFields count="13">
    <pivotField showAll="0" measureFilter="1">
      <items count="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t="default"/>
      </items>
    </pivotField>
    <pivotField axis="axisRow" numFmtId="14" showAll="0">
      <items count="15">
        <item x="0"/>
        <item x="1"/>
        <item x="2"/>
        <item x="3"/>
        <item x="4"/>
        <item x="5"/>
        <item x="6"/>
        <item x="7"/>
        <item x="8"/>
        <item x="9"/>
        <item x="10"/>
        <item x="11"/>
        <item x="12"/>
        <item x="13"/>
        <item t="default"/>
      </items>
    </pivotField>
    <pivotField showAll="0"/>
    <pivotField showAll="0">
      <items count="7">
        <item x="3"/>
        <item x="2"/>
        <item x="1"/>
        <item x="0"/>
        <item x="4"/>
        <item x="5"/>
        <item t="default"/>
      </items>
    </pivotField>
    <pivotField showAll="0"/>
    <pivotField showAll="0"/>
    <pivotField showAll="0"/>
    <pivotField dataField="1" showAll="0"/>
    <pivotField showAll="0"/>
    <pivotField showAll="0"/>
    <pivotField showAll="0"/>
    <pivotField showAll="0" defaultSubtotal="0">
      <items count="6">
        <item sd="0" x="0"/>
        <item sd="0" x="1"/>
        <item sd="0" x="2"/>
        <item sd="0" x="3"/>
        <item sd="0" x="4"/>
        <item sd="0" x="5"/>
      </items>
    </pivotField>
    <pivotField axis="axisRow" showAll="0" defaultSubtotal="0">
      <items count="7">
        <item sd="0" x="0"/>
        <item sd="0" x="1"/>
        <item sd="0" x="2"/>
        <item sd="0" x="3"/>
        <item sd="0" x="4"/>
        <item sd="0" x="5"/>
        <item sd="0" x="6"/>
      </items>
    </pivotField>
  </pivotFields>
  <rowFields count="2">
    <field x="12"/>
    <field x="1"/>
  </rowFields>
  <rowItems count="5">
    <i>
      <x v="1"/>
    </i>
    <i>
      <x v="2"/>
    </i>
    <i>
      <x v="3"/>
    </i>
    <i>
      <x v="4"/>
    </i>
    <i>
      <x v="5"/>
    </i>
  </rowItems>
  <colItems count="1">
    <i/>
  </colItems>
  <dataFields count="1">
    <dataField name="Sum of Sales" fld="7" baseField="0" baseItem="0"/>
  </dataFields>
  <chartFormats count="3">
    <chartFormat chart="2" format="4"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ity" sourceName="City">
  <pivotTables>
    <pivotTable tabId="3" name="PivotTable2"/>
    <pivotTable tabId="3" name="PivotTable3"/>
    <pivotTable tabId="3" name="PivotTable4"/>
    <pivotTable tabId="3" name="PivotTable5"/>
    <pivotTable tabId="3" name="Sale-Trend"/>
  </pivotTables>
  <data>
    <tabular pivotCacheId="1">
      <items count="6">
        <i x="3" s="1"/>
        <i x="2" s="1"/>
        <i x="1" s="1"/>
        <i x="0" s="1"/>
        <i x="4" s="1"/>
        <i x="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ity" cache="Slicer_City" caption="City" columnCount="6" showCaption="0" style="SlicerStyleDark1" rowHeight="4572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50"/>
  <sheetViews>
    <sheetView tabSelected="1" workbookViewId="0">
      <selection activeCell="K51" sqref="K51"/>
    </sheetView>
  </sheetViews>
  <sheetFormatPr defaultRowHeight="14.5" x14ac:dyDescent="0.35"/>
  <cols>
    <col min="1" max="1" width="8" bestFit="1" customWidth="1"/>
    <col min="2" max="2" width="10.08984375" bestFit="1" customWidth="1"/>
    <col min="3" max="3" width="6.453125" bestFit="1" customWidth="1"/>
    <col min="4" max="4" width="9.6328125" bestFit="1" customWidth="1"/>
    <col min="5" max="5" width="13.1796875" bestFit="1" customWidth="1"/>
    <col min="6" max="6" width="11.90625" bestFit="1" customWidth="1"/>
    <col min="7" max="7" width="13.54296875" bestFit="1" customWidth="1"/>
    <col min="8" max="8" width="12.453125" bestFit="1" customWidth="1"/>
    <col min="9" max="9" width="8" bestFit="1" customWidth="1"/>
    <col min="10" max="10" width="10" bestFit="1" customWidth="1"/>
    <col min="11" max="11" width="8.81640625" bestFit="1" customWidth="1"/>
  </cols>
  <sheetData>
    <row r="1" spans="1:11" ht="14.5" customHeight="1" x14ac:dyDescent="0.35">
      <c r="A1" s="2" t="s">
        <v>0</v>
      </c>
      <c r="B1" s="2" t="s">
        <v>1</v>
      </c>
      <c r="C1" s="2" t="s">
        <v>2</v>
      </c>
      <c r="D1" s="2" t="s">
        <v>3</v>
      </c>
      <c r="E1" s="2" t="s">
        <v>4</v>
      </c>
      <c r="F1" s="2" t="s">
        <v>5</v>
      </c>
      <c r="G1" s="2" t="s">
        <v>6</v>
      </c>
      <c r="H1" s="2" t="s">
        <v>7</v>
      </c>
      <c r="I1" s="2" t="s">
        <v>8</v>
      </c>
      <c r="J1" s="2" t="s">
        <v>9</v>
      </c>
      <c r="K1" s="2" t="s">
        <v>10</v>
      </c>
    </row>
    <row r="2" spans="1:11" ht="14.5" customHeight="1" x14ac:dyDescent="0.35">
      <c r="A2">
        <v>1001</v>
      </c>
      <c r="B2" s="1">
        <v>45292</v>
      </c>
      <c r="C2" t="s">
        <v>11</v>
      </c>
      <c r="D2" t="s">
        <v>12</v>
      </c>
      <c r="E2" t="s">
        <v>13</v>
      </c>
      <c r="F2" t="s">
        <v>14</v>
      </c>
      <c r="G2" t="s">
        <v>15</v>
      </c>
      <c r="H2">
        <v>12000</v>
      </c>
      <c r="I2">
        <v>2</v>
      </c>
      <c r="J2">
        <v>2000</v>
      </c>
      <c r="K2">
        <v>3</v>
      </c>
    </row>
    <row r="3" spans="1:11" ht="14.5" customHeight="1" x14ac:dyDescent="0.35">
      <c r="A3">
        <v>1002</v>
      </c>
      <c r="B3" s="1">
        <v>45323</v>
      </c>
      <c r="C3" t="s">
        <v>16</v>
      </c>
      <c r="D3" t="s">
        <v>17</v>
      </c>
      <c r="E3" t="s">
        <v>18</v>
      </c>
      <c r="F3" t="s">
        <v>19</v>
      </c>
      <c r="G3" t="s">
        <v>20</v>
      </c>
      <c r="H3">
        <v>45000</v>
      </c>
      <c r="I3">
        <v>3</v>
      </c>
      <c r="J3">
        <v>8000</v>
      </c>
      <c r="K3">
        <v>5</v>
      </c>
    </row>
    <row r="4" spans="1:11" ht="14.5" customHeight="1" x14ac:dyDescent="0.35">
      <c r="A4">
        <v>1003</v>
      </c>
      <c r="B4" s="1">
        <v>45352</v>
      </c>
      <c r="C4" t="s">
        <v>21</v>
      </c>
      <c r="D4" t="s">
        <v>22</v>
      </c>
      <c r="E4" t="s">
        <v>23</v>
      </c>
      <c r="F4" t="s">
        <v>24</v>
      </c>
      <c r="G4" t="s">
        <v>25</v>
      </c>
      <c r="H4">
        <v>3000</v>
      </c>
      <c r="I4">
        <v>5</v>
      </c>
      <c r="J4">
        <v>500</v>
      </c>
      <c r="K4">
        <v>2</v>
      </c>
    </row>
    <row r="5" spans="1:11" ht="14.5" customHeight="1" x14ac:dyDescent="0.35">
      <c r="A5">
        <v>1004</v>
      </c>
      <c r="B5" s="1">
        <v>45383</v>
      </c>
      <c r="C5" t="s">
        <v>26</v>
      </c>
      <c r="D5" t="s">
        <v>27</v>
      </c>
      <c r="E5" t="s">
        <v>13</v>
      </c>
      <c r="F5" t="s">
        <v>28</v>
      </c>
      <c r="G5" t="s">
        <v>29</v>
      </c>
      <c r="H5">
        <v>22000</v>
      </c>
      <c r="I5">
        <v>1</v>
      </c>
      <c r="J5">
        <v>4000</v>
      </c>
      <c r="K5">
        <v>6</v>
      </c>
    </row>
    <row r="6" spans="1:11" ht="14.5" customHeight="1" x14ac:dyDescent="0.35">
      <c r="A6">
        <v>1005</v>
      </c>
      <c r="B6" s="1">
        <v>45413</v>
      </c>
      <c r="C6" t="s">
        <v>11</v>
      </c>
      <c r="D6" t="s">
        <v>12</v>
      </c>
      <c r="E6" t="s">
        <v>18</v>
      </c>
      <c r="F6" t="s">
        <v>30</v>
      </c>
      <c r="G6" t="s">
        <v>31</v>
      </c>
      <c r="H6">
        <v>85000</v>
      </c>
      <c r="I6">
        <v>2</v>
      </c>
      <c r="J6">
        <v>15000</v>
      </c>
      <c r="K6">
        <v>4</v>
      </c>
    </row>
    <row r="7" spans="1:11" ht="14.5" customHeight="1" x14ac:dyDescent="0.35">
      <c r="A7">
        <v>1006</v>
      </c>
      <c r="B7" s="1">
        <v>45444</v>
      </c>
      <c r="C7" t="s">
        <v>16</v>
      </c>
      <c r="D7" t="s">
        <v>17</v>
      </c>
      <c r="E7" t="s">
        <v>23</v>
      </c>
      <c r="F7" t="s">
        <v>32</v>
      </c>
      <c r="G7" t="s">
        <v>33</v>
      </c>
      <c r="H7">
        <v>2000</v>
      </c>
      <c r="I7">
        <v>10</v>
      </c>
      <c r="J7">
        <v>300</v>
      </c>
      <c r="K7">
        <v>1</v>
      </c>
    </row>
    <row r="8" spans="1:11" ht="14.5" customHeight="1" x14ac:dyDescent="0.35">
      <c r="A8">
        <v>1007</v>
      </c>
      <c r="B8" s="1">
        <v>45474</v>
      </c>
      <c r="C8" t="s">
        <v>21</v>
      </c>
      <c r="D8" t="s">
        <v>22</v>
      </c>
      <c r="E8" t="s">
        <v>13</v>
      </c>
      <c r="F8" t="s">
        <v>14</v>
      </c>
      <c r="G8" t="s">
        <v>34</v>
      </c>
      <c r="H8">
        <v>18000</v>
      </c>
      <c r="I8">
        <v>2</v>
      </c>
      <c r="J8">
        <v>3000</v>
      </c>
      <c r="K8">
        <v>3</v>
      </c>
    </row>
    <row r="9" spans="1:11" ht="14.5" customHeight="1" x14ac:dyDescent="0.35">
      <c r="A9">
        <v>1008</v>
      </c>
      <c r="B9" s="1">
        <v>45505</v>
      </c>
      <c r="C9" t="s">
        <v>26</v>
      </c>
      <c r="D9" t="s">
        <v>35</v>
      </c>
      <c r="E9" t="s">
        <v>18</v>
      </c>
      <c r="F9" t="s">
        <v>36</v>
      </c>
      <c r="G9" t="s">
        <v>37</v>
      </c>
      <c r="H9">
        <v>1500</v>
      </c>
      <c r="I9">
        <v>4</v>
      </c>
      <c r="J9">
        <v>200</v>
      </c>
      <c r="K9">
        <v>2</v>
      </c>
    </row>
    <row r="10" spans="1:11" ht="14.5" customHeight="1" x14ac:dyDescent="0.35">
      <c r="A10">
        <v>1009</v>
      </c>
      <c r="B10" s="1">
        <v>45536</v>
      </c>
      <c r="C10" t="s">
        <v>11</v>
      </c>
      <c r="D10" t="s">
        <v>12</v>
      </c>
      <c r="E10" t="s">
        <v>23</v>
      </c>
      <c r="F10" t="s">
        <v>38</v>
      </c>
      <c r="G10" t="s">
        <v>39</v>
      </c>
      <c r="H10">
        <v>1200</v>
      </c>
      <c r="I10">
        <v>3</v>
      </c>
      <c r="J10">
        <v>150</v>
      </c>
      <c r="K10">
        <v>1</v>
      </c>
    </row>
    <row r="11" spans="1:11" ht="14.5" customHeight="1" x14ac:dyDescent="0.35">
      <c r="A11">
        <v>1010</v>
      </c>
      <c r="B11" s="1">
        <v>45566</v>
      </c>
      <c r="C11" t="s">
        <v>16</v>
      </c>
      <c r="D11" t="s">
        <v>17</v>
      </c>
      <c r="E11" t="s">
        <v>18</v>
      </c>
      <c r="F11" t="s">
        <v>19</v>
      </c>
      <c r="G11" t="s">
        <v>40</v>
      </c>
      <c r="H11">
        <v>30000</v>
      </c>
      <c r="I11">
        <v>2</v>
      </c>
      <c r="J11">
        <v>5000</v>
      </c>
      <c r="K11">
        <v>5</v>
      </c>
    </row>
    <row r="12" spans="1:11" x14ac:dyDescent="0.35">
      <c r="A12">
        <v>1011</v>
      </c>
      <c r="B12" s="1">
        <v>45597</v>
      </c>
      <c r="C12" t="s">
        <v>11</v>
      </c>
      <c r="D12" t="s">
        <v>12</v>
      </c>
      <c r="E12" t="s">
        <v>13</v>
      </c>
      <c r="F12" t="s">
        <v>14</v>
      </c>
      <c r="G12" t="s">
        <v>15</v>
      </c>
      <c r="H12">
        <v>13733</v>
      </c>
      <c r="I12">
        <v>3.6</v>
      </c>
      <c r="J12" s="3">
        <v>2243.3333333333298</v>
      </c>
      <c r="K12">
        <v>2.4666666666666601</v>
      </c>
    </row>
    <row r="13" spans="1:11" x14ac:dyDescent="0.35">
      <c r="A13">
        <v>1012</v>
      </c>
      <c r="B13" s="1">
        <v>45627</v>
      </c>
      <c r="C13" t="s">
        <v>16</v>
      </c>
      <c r="D13" t="s">
        <v>17</v>
      </c>
      <c r="E13" t="s">
        <v>18</v>
      </c>
      <c r="F13" t="s">
        <v>19</v>
      </c>
      <c r="G13" t="s">
        <v>20</v>
      </c>
      <c r="H13" s="3">
        <v>12235</v>
      </c>
      <c r="I13" s="3">
        <v>3.6363636363636398</v>
      </c>
      <c r="J13" s="3">
        <v>1957.57575757575</v>
      </c>
      <c r="K13">
        <v>2.3333333333333299</v>
      </c>
    </row>
    <row r="14" spans="1:11" x14ac:dyDescent="0.35">
      <c r="A14">
        <v>1013</v>
      </c>
      <c r="B14" s="1">
        <v>45658</v>
      </c>
      <c r="C14" t="s">
        <v>21</v>
      </c>
      <c r="D14" t="s">
        <v>22</v>
      </c>
      <c r="E14" t="s">
        <v>23</v>
      </c>
      <c r="F14" t="s">
        <v>24</v>
      </c>
      <c r="G14" t="s">
        <v>25</v>
      </c>
      <c r="H14" s="3">
        <v>10738</v>
      </c>
      <c r="I14" s="3">
        <v>3.6727272727272702</v>
      </c>
      <c r="J14" s="3">
        <v>1671.8181818181799</v>
      </c>
      <c r="K14">
        <v>2.2000000000000002</v>
      </c>
    </row>
    <row r="15" spans="1:11" x14ac:dyDescent="0.35">
      <c r="A15">
        <v>1014</v>
      </c>
      <c r="B15" s="1">
        <v>45689</v>
      </c>
      <c r="C15" t="s">
        <v>26</v>
      </c>
      <c r="D15" t="s">
        <v>27</v>
      </c>
      <c r="E15" t="s">
        <v>13</v>
      </c>
      <c r="F15" t="s">
        <v>28</v>
      </c>
      <c r="G15" t="s">
        <v>29</v>
      </c>
      <c r="H15" s="3">
        <v>9240.6060606060091</v>
      </c>
      <c r="I15" s="3">
        <v>3.7090909090909099</v>
      </c>
      <c r="J15" s="3">
        <v>1386.0606060606001</v>
      </c>
      <c r="K15">
        <v>2.0666666666666602</v>
      </c>
    </row>
    <row r="16" spans="1:11" x14ac:dyDescent="0.35">
      <c r="A16">
        <v>1015</v>
      </c>
      <c r="B16" s="1">
        <v>45717</v>
      </c>
      <c r="C16" t="s">
        <v>11</v>
      </c>
      <c r="D16" t="s">
        <v>12</v>
      </c>
      <c r="E16" t="s">
        <v>18</v>
      </c>
      <c r="F16" t="s">
        <v>30</v>
      </c>
      <c r="G16" t="s">
        <v>31</v>
      </c>
      <c r="H16" s="3">
        <v>7743</v>
      </c>
      <c r="I16" s="3">
        <v>3.74545454545455</v>
      </c>
      <c r="J16" s="3">
        <v>1100.30303030303</v>
      </c>
      <c r="K16">
        <v>1.93333333333333</v>
      </c>
    </row>
    <row r="17" spans="1:11" x14ac:dyDescent="0.35">
      <c r="A17">
        <v>1016</v>
      </c>
      <c r="B17" s="1">
        <v>45748</v>
      </c>
      <c r="C17" t="s">
        <v>16</v>
      </c>
      <c r="D17" t="s">
        <v>17</v>
      </c>
      <c r="E17" t="s">
        <v>23</v>
      </c>
      <c r="F17" t="s">
        <v>32</v>
      </c>
      <c r="G17" t="s">
        <v>33</v>
      </c>
      <c r="H17" s="3">
        <v>6245</v>
      </c>
      <c r="I17" s="3">
        <v>3.78181818181818</v>
      </c>
      <c r="J17" s="3">
        <v>814.545454545452</v>
      </c>
      <c r="K17">
        <v>1.8</v>
      </c>
    </row>
    <row r="18" spans="1:11" x14ac:dyDescent="0.35">
      <c r="A18">
        <v>1017</v>
      </c>
      <c r="B18" s="1">
        <v>45778</v>
      </c>
      <c r="C18" t="s">
        <v>21</v>
      </c>
      <c r="D18" t="s">
        <v>22</v>
      </c>
      <c r="E18" t="s">
        <v>13</v>
      </c>
      <c r="F18" t="s">
        <v>14</v>
      </c>
      <c r="G18" t="s">
        <v>34</v>
      </c>
      <c r="H18" s="3">
        <v>4747</v>
      </c>
      <c r="I18" s="3">
        <v>3.8181818181818201</v>
      </c>
      <c r="J18" s="3">
        <v>528.78787878787205</v>
      </c>
      <c r="K18">
        <v>1.6666666666666601</v>
      </c>
    </row>
    <row r="19" spans="1:11" x14ac:dyDescent="0.35">
      <c r="A19">
        <v>1018</v>
      </c>
      <c r="B19" s="1">
        <v>45809</v>
      </c>
      <c r="C19" t="s">
        <v>26</v>
      </c>
      <c r="D19" t="s">
        <v>35</v>
      </c>
      <c r="E19" t="s">
        <v>18</v>
      </c>
      <c r="F19" t="s">
        <v>36</v>
      </c>
      <c r="G19" t="s">
        <v>37</v>
      </c>
      <c r="H19" s="3">
        <v>3250</v>
      </c>
      <c r="I19" s="3">
        <v>3.8545454545454598</v>
      </c>
      <c r="J19" s="3">
        <v>243.03030303030201</v>
      </c>
      <c r="K19">
        <v>1.5333333333333301</v>
      </c>
    </row>
    <row r="20" spans="1:11" x14ac:dyDescent="0.35">
      <c r="A20">
        <v>1019</v>
      </c>
      <c r="B20" s="1">
        <v>45839</v>
      </c>
      <c r="C20" t="s">
        <v>11</v>
      </c>
      <c r="D20" t="s">
        <v>12</v>
      </c>
      <c r="E20" t="s">
        <v>23</v>
      </c>
      <c r="F20" t="s">
        <v>38</v>
      </c>
      <c r="G20" t="s">
        <v>39</v>
      </c>
      <c r="H20" s="3">
        <v>1752.72727272731</v>
      </c>
      <c r="I20" s="3">
        <v>3.8909090909090902</v>
      </c>
      <c r="J20" s="3">
        <v>-42.727272727278397</v>
      </c>
      <c r="K20">
        <v>1.4</v>
      </c>
    </row>
    <row r="21" spans="1:11" x14ac:dyDescent="0.35">
      <c r="A21">
        <v>1020</v>
      </c>
      <c r="B21" s="1">
        <v>45870</v>
      </c>
      <c r="C21" t="s">
        <v>16</v>
      </c>
      <c r="D21" t="s">
        <v>17</v>
      </c>
      <c r="E21" t="s">
        <v>18</v>
      </c>
      <c r="F21" t="s">
        <v>19</v>
      </c>
      <c r="G21" t="s">
        <v>40</v>
      </c>
      <c r="H21" s="3">
        <v>255.151515151512</v>
      </c>
      <c r="I21" s="3">
        <v>3.9272727272727299</v>
      </c>
      <c r="J21" s="3">
        <v>328.48484848484799</v>
      </c>
      <c r="K21">
        <v>1.2666666666666599</v>
      </c>
    </row>
    <row r="22" spans="1:11" x14ac:dyDescent="0.35">
      <c r="A22">
        <v>1021</v>
      </c>
      <c r="B22" s="1">
        <v>45901</v>
      </c>
      <c r="C22" t="s">
        <v>11</v>
      </c>
      <c r="D22" t="s">
        <v>12</v>
      </c>
      <c r="E22" t="s">
        <v>13</v>
      </c>
      <c r="F22" t="s">
        <v>14</v>
      </c>
      <c r="G22" t="s">
        <v>15</v>
      </c>
      <c r="H22" s="3">
        <v>1242.42424242429</v>
      </c>
      <c r="I22" s="3">
        <v>3.9636363636363598</v>
      </c>
      <c r="J22" s="3">
        <v>614.242424242428</v>
      </c>
      <c r="K22">
        <v>1.13333333333333</v>
      </c>
    </row>
    <row r="23" spans="1:11" x14ac:dyDescent="0.35">
      <c r="A23">
        <v>1022</v>
      </c>
      <c r="B23" s="1">
        <v>45931</v>
      </c>
      <c r="C23" t="s">
        <v>16</v>
      </c>
      <c r="D23" t="s">
        <v>17</v>
      </c>
      <c r="E23" t="s">
        <v>18</v>
      </c>
      <c r="F23" t="s">
        <v>19</v>
      </c>
      <c r="G23" t="s">
        <v>20</v>
      </c>
      <c r="H23" s="3">
        <v>2739.99999999999</v>
      </c>
      <c r="I23" s="3">
        <v>4</v>
      </c>
      <c r="J23" s="3">
        <v>900.00000000000796</v>
      </c>
      <c r="K23">
        <v>1</v>
      </c>
    </row>
    <row r="24" spans="1:11" x14ac:dyDescent="0.35">
      <c r="A24">
        <v>1023</v>
      </c>
      <c r="B24" s="1">
        <v>45962</v>
      </c>
      <c r="C24" t="s">
        <v>21</v>
      </c>
      <c r="D24" t="s">
        <v>22</v>
      </c>
      <c r="E24" t="s">
        <v>23</v>
      </c>
      <c r="F24" t="s">
        <v>24</v>
      </c>
      <c r="G24" t="s">
        <v>25</v>
      </c>
      <c r="H24" s="3">
        <v>-4237.5757575757898</v>
      </c>
      <c r="I24" s="3">
        <v>4.0363636363636397</v>
      </c>
      <c r="J24" s="3">
        <v>-1185.7575757575801</v>
      </c>
      <c r="K24">
        <v>0.86666666666666103</v>
      </c>
    </row>
    <row r="25" spans="1:11" x14ac:dyDescent="0.35">
      <c r="A25">
        <v>1024</v>
      </c>
      <c r="B25" s="1">
        <v>45992</v>
      </c>
      <c r="C25" t="s">
        <v>26</v>
      </c>
      <c r="D25" t="s">
        <v>27</v>
      </c>
      <c r="E25" t="s">
        <v>13</v>
      </c>
      <c r="F25" t="s">
        <v>28</v>
      </c>
      <c r="G25" t="s">
        <v>29</v>
      </c>
      <c r="H25" s="3">
        <v>5735.1515151514895</v>
      </c>
      <c r="I25" s="3">
        <v>4.0727272727272696</v>
      </c>
      <c r="J25" s="3">
        <v>1471.5151515151599</v>
      </c>
      <c r="K25">
        <v>0.73333333333333095</v>
      </c>
    </row>
    <row r="26" spans="1:11" x14ac:dyDescent="0.35">
      <c r="A26">
        <v>1025</v>
      </c>
      <c r="B26" s="1">
        <v>46023</v>
      </c>
      <c r="C26" t="s">
        <v>11</v>
      </c>
      <c r="D26" t="s">
        <v>12</v>
      </c>
      <c r="E26" t="s">
        <v>18</v>
      </c>
      <c r="F26" t="s">
        <v>30</v>
      </c>
      <c r="G26" t="s">
        <v>31</v>
      </c>
      <c r="H26" s="3">
        <v>-7232.7272727272903</v>
      </c>
      <c r="I26" s="3">
        <v>4.1090909090909102</v>
      </c>
      <c r="J26" s="3">
        <v>1757.27272727273</v>
      </c>
      <c r="K26">
        <v>0.60000000000000098</v>
      </c>
    </row>
    <row r="27" spans="1:11" x14ac:dyDescent="0.35">
      <c r="A27">
        <v>1026</v>
      </c>
      <c r="B27" s="1">
        <v>46054</v>
      </c>
      <c r="C27" t="s">
        <v>16</v>
      </c>
      <c r="D27" t="s">
        <v>17</v>
      </c>
      <c r="E27" t="s">
        <v>23</v>
      </c>
      <c r="F27" t="s">
        <v>32</v>
      </c>
      <c r="G27" t="s">
        <v>33</v>
      </c>
      <c r="H27" s="3">
        <v>-8730.3030303030901</v>
      </c>
      <c r="I27" s="3">
        <v>4.1454545454545499</v>
      </c>
      <c r="J27" s="3">
        <v>2043.0303030303101</v>
      </c>
      <c r="K27">
        <v>0.46666666666666101</v>
      </c>
    </row>
    <row r="28" spans="1:11" x14ac:dyDescent="0.35">
      <c r="A28">
        <v>1027</v>
      </c>
      <c r="B28" s="1">
        <v>46082</v>
      </c>
      <c r="C28" t="s">
        <v>21</v>
      </c>
      <c r="D28" t="s">
        <v>41</v>
      </c>
      <c r="E28" t="s">
        <v>13</v>
      </c>
      <c r="F28" t="s">
        <v>14</v>
      </c>
      <c r="G28" t="s">
        <v>34</v>
      </c>
      <c r="H28" s="3">
        <v>10227.878787878801</v>
      </c>
      <c r="I28" s="3">
        <v>4.1818181818181799</v>
      </c>
      <c r="J28" s="3">
        <v>2328.7878787878899</v>
      </c>
      <c r="K28">
        <v>0.33333333333333098</v>
      </c>
    </row>
    <row r="29" spans="1:11" x14ac:dyDescent="0.35">
      <c r="A29">
        <v>1028</v>
      </c>
      <c r="B29" s="1">
        <v>46113</v>
      </c>
      <c r="C29" t="s">
        <v>26</v>
      </c>
      <c r="D29" t="s">
        <v>35</v>
      </c>
      <c r="E29" t="s">
        <v>18</v>
      </c>
      <c r="F29" t="s">
        <v>36</v>
      </c>
      <c r="G29" t="s">
        <v>37</v>
      </c>
      <c r="H29" s="3">
        <v>11725.454545454601</v>
      </c>
      <c r="I29" s="3">
        <v>4.2181818181818196</v>
      </c>
      <c r="J29" s="3">
        <v>2614.54545454546</v>
      </c>
      <c r="K29">
        <v>0.20000000000000101</v>
      </c>
    </row>
    <row r="30" spans="1:11" x14ac:dyDescent="0.35">
      <c r="A30">
        <v>1029</v>
      </c>
      <c r="B30" s="1">
        <v>46143</v>
      </c>
      <c r="C30" t="s">
        <v>11</v>
      </c>
      <c r="D30" t="s">
        <v>12</v>
      </c>
      <c r="E30" t="s">
        <v>23</v>
      </c>
      <c r="F30" t="s">
        <v>38</v>
      </c>
      <c r="G30" t="s">
        <v>39</v>
      </c>
      <c r="H30" s="3">
        <v>13223.0303030303</v>
      </c>
      <c r="I30" s="3">
        <v>4.2545454545454602</v>
      </c>
      <c r="J30" s="3">
        <v>2900.30303030304</v>
      </c>
      <c r="K30">
        <v>6.6666666666660698E-2</v>
      </c>
    </row>
    <row r="31" spans="1:11" x14ac:dyDescent="0.35">
      <c r="A31">
        <v>1030</v>
      </c>
      <c r="B31" s="1">
        <v>46174</v>
      </c>
      <c r="C31" t="s">
        <v>16</v>
      </c>
      <c r="D31" t="s">
        <v>17</v>
      </c>
      <c r="E31" t="s">
        <v>18</v>
      </c>
      <c r="F31" t="s">
        <v>19</v>
      </c>
      <c r="G31" t="s">
        <v>40</v>
      </c>
      <c r="H31" s="3">
        <v>14720.6060606061</v>
      </c>
      <c r="I31" s="3">
        <v>4.2909090909090999</v>
      </c>
      <c r="J31" s="3">
        <v>3186.0606060606101</v>
      </c>
      <c r="K31">
        <v>-6.6666666666669094E-2</v>
      </c>
    </row>
    <row r="32" spans="1:11" x14ac:dyDescent="0.35">
      <c r="A32">
        <v>1031</v>
      </c>
      <c r="B32" s="1">
        <v>46204</v>
      </c>
      <c r="C32" t="s">
        <v>11</v>
      </c>
      <c r="D32" t="s">
        <v>12</v>
      </c>
      <c r="E32" t="s">
        <v>13</v>
      </c>
      <c r="F32" t="s">
        <v>14</v>
      </c>
      <c r="G32" t="s">
        <v>15</v>
      </c>
      <c r="H32" s="3">
        <v>16218.1818181818</v>
      </c>
      <c r="I32" s="3">
        <v>4.3272727272727298</v>
      </c>
      <c r="J32" s="3">
        <v>3471.8181818181902</v>
      </c>
      <c r="K32">
        <v>-0.200000000000009</v>
      </c>
    </row>
    <row r="33" spans="1:11" x14ac:dyDescent="0.35">
      <c r="A33">
        <v>1032</v>
      </c>
      <c r="B33" s="1">
        <v>46235</v>
      </c>
      <c r="C33" t="s">
        <v>16</v>
      </c>
      <c r="D33" t="s">
        <v>17</v>
      </c>
      <c r="E33" t="s">
        <v>18</v>
      </c>
      <c r="F33" t="s">
        <v>19</v>
      </c>
      <c r="G33" t="s">
        <v>20</v>
      </c>
      <c r="H33" s="3">
        <v>17715.757575757601</v>
      </c>
      <c r="I33" s="3">
        <v>4.3636363636363704</v>
      </c>
      <c r="J33" s="3">
        <v>3757.5757575757698</v>
      </c>
      <c r="K33">
        <v>-0.33333333333333898</v>
      </c>
    </row>
    <row r="34" spans="1:11" x14ac:dyDescent="0.35">
      <c r="A34">
        <v>1033</v>
      </c>
      <c r="B34" s="1">
        <v>46266</v>
      </c>
      <c r="C34" t="s">
        <v>21</v>
      </c>
      <c r="D34" t="s">
        <v>41</v>
      </c>
      <c r="E34" t="s">
        <v>23</v>
      </c>
      <c r="F34" t="s">
        <v>24</v>
      </c>
      <c r="G34" t="s">
        <v>25</v>
      </c>
      <c r="H34" s="3">
        <v>19213.333333333401</v>
      </c>
      <c r="I34" s="3">
        <v>4.4000000000000004</v>
      </c>
      <c r="J34" s="3">
        <v>4043.3333333333399</v>
      </c>
      <c r="K34">
        <v>-0.46666666666666901</v>
      </c>
    </row>
    <row r="35" spans="1:11" x14ac:dyDescent="0.35">
      <c r="A35">
        <v>1034</v>
      </c>
      <c r="B35" s="1">
        <v>46296</v>
      </c>
      <c r="C35" t="s">
        <v>26</v>
      </c>
      <c r="D35" t="s">
        <v>27</v>
      </c>
      <c r="E35" t="s">
        <v>13</v>
      </c>
      <c r="F35" t="s">
        <v>28</v>
      </c>
      <c r="G35" t="s">
        <v>29</v>
      </c>
      <c r="H35" s="3">
        <v>20710.909090909099</v>
      </c>
      <c r="I35" s="3">
        <v>4.4363636363636401</v>
      </c>
      <c r="J35" s="3">
        <v>4329.0909090909199</v>
      </c>
      <c r="K35">
        <v>-0.60000000000000897</v>
      </c>
    </row>
    <row r="36" spans="1:11" x14ac:dyDescent="0.35">
      <c r="A36">
        <v>1035</v>
      </c>
      <c r="B36" s="1">
        <v>46327</v>
      </c>
      <c r="C36" t="s">
        <v>11</v>
      </c>
      <c r="D36" t="s">
        <v>12</v>
      </c>
      <c r="E36" t="s">
        <v>18</v>
      </c>
      <c r="F36" t="s">
        <v>30</v>
      </c>
      <c r="G36" t="s">
        <v>31</v>
      </c>
      <c r="H36" s="3">
        <v>22208.484848484899</v>
      </c>
      <c r="I36" s="3">
        <v>4.4727272727272798</v>
      </c>
      <c r="J36" s="3">
        <v>4614.8484848484904</v>
      </c>
      <c r="K36">
        <v>-0.73333333333334005</v>
      </c>
    </row>
    <row r="37" spans="1:11" x14ac:dyDescent="0.35">
      <c r="A37">
        <v>1036</v>
      </c>
      <c r="B37" s="1">
        <v>46357</v>
      </c>
      <c r="C37" t="s">
        <v>16</v>
      </c>
      <c r="D37" t="s">
        <v>17</v>
      </c>
      <c r="E37" t="s">
        <v>23</v>
      </c>
      <c r="F37" t="s">
        <v>32</v>
      </c>
      <c r="G37" t="s">
        <v>33</v>
      </c>
      <c r="H37" s="3">
        <v>23706.060606060601</v>
      </c>
      <c r="I37" s="3">
        <v>4.5090909090909097</v>
      </c>
      <c r="J37" s="3">
        <v>4900.6060606061101</v>
      </c>
      <c r="K37">
        <v>-0.86666666666666903</v>
      </c>
    </row>
    <row r="38" spans="1:11" x14ac:dyDescent="0.35">
      <c r="A38">
        <v>1037</v>
      </c>
      <c r="B38" s="1">
        <v>46388</v>
      </c>
      <c r="C38" t="s">
        <v>21</v>
      </c>
      <c r="D38" t="s">
        <v>22</v>
      </c>
      <c r="E38" t="s">
        <v>13</v>
      </c>
      <c r="F38" t="s">
        <v>14</v>
      </c>
      <c r="G38" t="s">
        <v>34</v>
      </c>
      <c r="H38" s="3">
        <v>25203.6363636364</v>
      </c>
      <c r="I38" s="3">
        <v>4.5454545454545503</v>
      </c>
      <c r="J38" s="3">
        <v>5186.3636363636097</v>
      </c>
      <c r="K38">
        <v>-1.00000000000001</v>
      </c>
    </row>
    <row r="39" spans="1:11" x14ac:dyDescent="0.35">
      <c r="A39">
        <v>1038</v>
      </c>
      <c r="B39" s="1">
        <v>46419</v>
      </c>
      <c r="C39" t="s">
        <v>26</v>
      </c>
      <c r="D39" t="s">
        <v>35</v>
      </c>
      <c r="E39" t="s">
        <v>18</v>
      </c>
      <c r="F39" t="s">
        <v>36</v>
      </c>
      <c r="G39" t="s">
        <v>37</v>
      </c>
      <c r="H39" s="3">
        <v>26701.212121212098</v>
      </c>
      <c r="I39" s="3">
        <v>4.58181818181819</v>
      </c>
      <c r="J39" s="3">
        <v>5472.1212121212102</v>
      </c>
      <c r="K39">
        <v>-1.13333333333334</v>
      </c>
    </row>
    <row r="40" spans="1:11" x14ac:dyDescent="0.35">
      <c r="A40">
        <v>1039</v>
      </c>
      <c r="B40" s="1">
        <v>46447</v>
      </c>
      <c r="C40" t="s">
        <v>11</v>
      </c>
      <c r="D40" t="s">
        <v>12</v>
      </c>
      <c r="E40" t="s">
        <v>23</v>
      </c>
      <c r="F40" t="s">
        <v>38</v>
      </c>
      <c r="G40" t="s">
        <v>39</v>
      </c>
      <c r="H40" s="3">
        <v>28198.787878787902</v>
      </c>
      <c r="I40" s="3">
        <v>4.6181818181818199</v>
      </c>
      <c r="J40" s="3">
        <v>5757.8787878788098</v>
      </c>
      <c r="K40">
        <v>-1.2666666666666699</v>
      </c>
    </row>
    <row r="41" spans="1:11" x14ac:dyDescent="0.35">
      <c r="A41">
        <v>1040</v>
      </c>
      <c r="B41" s="1">
        <v>46478</v>
      </c>
      <c r="C41" t="s">
        <v>16</v>
      </c>
      <c r="D41" t="s">
        <v>17</v>
      </c>
      <c r="E41" t="s">
        <v>18</v>
      </c>
      <c r="F41" t="s">
        <v>19</v>
      </c>
      <c r="G41" t="s">
        <v>40</v>
      </c>
      <c r="H41" s="3">
        <v>29696.363636363702</v>
      </c>
      <c r="I41" s="3">
        <v>4.6545454545454596</v>
      </c>
      <c r="J41" s="3">
        <v>6043.6363636364104</v>
      </c>
      <c r="K41">
        <v>-1.4000000000000099</v>
      </c>
    </row>
    <row r="42" spans="1:11" x14ac:dyDescent="0.35">
      <c r="A42">
        <v>1041</v>
      </c>
      <c r="B42" s="1">
        <v>46508</v>
      </c>
      <c r="C42" t="s">
        <v>11</v>
      </c>
      <c r="D42" t="s">
        <v>12</v>
      </c>
      <c r="E42" t="s">
        <v>13</v>
      </c>
      <c r="F42" t="s">
        <v>14</v>
      </c>
      <c r="G42" t="s">
        <v>15</v>
      </c>
      <c r="H42" s="3">
        <v>31193.939393939399</v>
      </c>
      <c r="I42" s="3">
        <v>4.6909090909091002</v>
      </c>
      <c r="J42" s="3">
        <v>6329.3939393939099</v>
      </c>
      <c r="K42">
        <v>-1.5333333333333401</v>
      </c>
    </row>
    <row r="43" spans="1:11" x14ac:dyDescent="0.35">
      <c r="A43">
        <v>1042</v>
      </c>
      <c r="B43" s="1">
        <v>46539</v>
      </c>
      <c r="C43" t="s">
        <v>16</v>
      </c>
      <c r="D43" t="s">
        <v>17</v>
      </c>
      <c r="E43" t="s">
        <v>18</v>
      </c>
      <c r="F43" t="s">
        <v>19</v>
      </c>
      <c r="G43" t="s">
        <v>20</v>
      </c>
      <c r="H43" s="3">
        <v>32691.515151515199</v>
      </c>
      <c r="I43" s="3">
        <v>4.7272727272727302</v>
      </c>
      <c r="J43" s="3">
        <v>6615.1515151515096</v>
      </c>
      <c r="K43">
        <v>-1.6666666666666701</v>
      </c>
    </row>
    <row r="44" spans="1:11" x14ac:dyDescent="0.35">
      <c r="A44">
        <v>1043</v>
      </c>
      <c r="B44" s="1">
        <v>46569</v>
      </c>
      <c r="C44" t="s">
        <v>21</v>
      </c>
      <c r="D44" t="s">
        <v>22</v>
      </c>
      <c r="E44" t="s">
        <v>23</v>
      </c>
      <c r="F44" t="s">
        <v>24</v>
      </c>
      <c r="G44" t="s">
        <v>25</v>
      </c>
      <c r="H44" s="3">
        <v>34189.090909090897</v>
      </c>
      <c r="I44" s="3">
        <v>4.7636363636363699</v>
      </c>
      <c r="J44" s="3">
        <v>6900.9090909091101</v>
      </c>
      <c r="K44">
        <v>-1.80000000000001</v>
      </c>
    </row>
    <row r="45" spans="1:11" x14ac:dyDescent="0.35">
      <c r="A45">
        <v>1044</v>
      </c>
      <c r="B45" s="1">
        <v>46600</v>
      </c>
      <c r="C45" t="s">
        <v>26</v>
      </c>
      <c r="D45" t="s">
        <v>27</v>
      </c>
      <c r="E45" t="s">
        <v>13</v>
      </c>
      <c r="F45" t="s">
        <v>28</v>
      </c>
      <c r="G45" t="s">
        <v>29</v>
      </c>
      <c r="H45" s="3">
        <v>35686.666666666701</v>
      </c>
      <c r="I45" s="3">
        <v>4.8</v>
      </c>
      <c r="J45" s="3">
        <v>7186.6666666667097</v>
      </c>
      <c r="K45">
        <v>-1.93333333333334</v>
      </c>
    </row>
    <row r="46" spans="1:11" x14ac:dyDescent="0.35">
      <c r="A46">
        <v>1045</v>
      </c>
      <c r="B46" s="1">
        <v>46631</v>
      </c>
      <c r="C46" t="s">
        <v>11</v>
      </c>
      <c r="D46" t="s">
        <v>12</v>
      </c>
      <c r="E46" t="s">
        <v>18</v>
      </c>
      <c r="F46" t="s">
        <v>30</v>
      </c>
      <c r="G46" t="s">
        <v>31</v>
      </c>
      <c r="H46" s="3">
        <v>37184.242424242402</v>
      </c>
      <c r="I46" s="3">
        <v>4.8363636363636404</v>
      </c>
      <c r="J46" s="3">
        <v>7472.4242424242102</v>
      </c>
      <c r="K46">
        <v>-2.0666666666666802</v>
      </c>
    </row>
    <row r="47" spans="1:11" x14ac:dyDescent="0.35">
      <c r="A47">
        <v>1046</v>
      </c>
      <c r="B47" s="1">
        <v>46661</v>
      </c>
      <c r="C47" t="s">
        <v>16</v>
      </c>
      <c r="D47" t="s">
        <v>17</v>
      </c>
      <c r="E47" t="s">
        <v>23</v>
      </c>
      <c r="F47" t="s">
        <v>32</v>
      </c>
      <c r="G47" t="s">
        <v>33</v>
      </c>
      <c r="H47" s="3">
        <v>38681.818181818198</v>
      </c>
      <c r="I47" s="3">
        <v>4.8727272727272801</v>
      </c>
      <c r="J47" s="3">
        <v>7758.1818181818098</v>
      </c>
      <c r="K47">
        <v>-2.2000000000000099</v>
      </c>
    </row>
    <row r="48" spans="1:11" x14ac:dyDescent="0.35">
      <c r="A48">
        <v>1047</v>
      </c>
      <c r="B48" s="1">
        <v>46692</v>
      </c>
      <c r="C48" t="s">
        <v>21</v>
      </c>
      <c r="D48" t="s">
        <v>41</v>
      </c>
      <c r="E48" t="s">
        <v>13</v>
      </c>
      <c r="F48" t="s">
        <v>14</v>
      </c>
      <c r="G48" t="s">
        <v>34</v>
      </c>
      <c r="H48" s="3">
        <v>40179.393939394002</v>
      </c>
      <c r="I48" s="3">
        <v>4.9090909090909101</v>
      </c>
      <c r="J48" s="3">
        <v>8043.9393939394104</v>
      </c>
      <c r="K48">
        <v>-2.3333333333333401</v>
      </c>
    </row>
    <row r="49" spans="1:11" x14ac:dyDescent="0.35">
      <c r="A49">
        <v>1048</v>
      </c>
      <c r="B49" s="1">
        <v>46722</v>
      </c>
      <c r="C49" t="s">
        <v>26</v>
      </c>
      <c r="D49" t="s">
        <v>35</v>
      </c>
      <c r="E49" t="s">
        <v>18</v>
      </c>
      <c r="F49" t="s">
        <v>36</v>
      </c>
      <c r="G49" t="s">
        <v>37</v>
      </c>
      <c r="H49" s="3">
        <v>41676.969696969703</v>
      </c>
      <c r="I49" s="3">
        <v>4.9454545454545498</v>
      </c>
      <c r="J49" s="3">
        <v>8329.69696969701</v>
      </c>
      <c r="K49">
        <v>-2.4666666666666801</v>
      </c>
    </row>
    <row r="50" spans="1:11" x14ac:dyDescent="0.35">
      <c r="A50">
        <v>1049</v>
      </c>
      <c r="B50" s="1">
        <v>46753</v>
      </c>
      <c r="C50" t="s">
        <v>11</v>
      </c>
      <c r="D50" t="s">
        <v>12</v>
      </c>
      <c r="E50" t="s">
        <v>23</v>
      </c>
      <c r="F50" t="s">
        <v>38</v>
      </c>
      <c r="G50" t="s">
        <v>39</v>
      </c>
      <c r="H50" s="3">
        <v>43174.5454545455</v>
      </c>
      <c r="I50" s="3">
        <v>4.9818181818181904</v>
      </c>
      <c r="J50" s="3">
        <v>8615.4545454545096</v>
      </c>
      <c r="K50">
        <v>-2.6000000000000099</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6"/>
  <sheetViews>
    <sheetView topLeftCell="D1" workbookViewId="0">
      <selection activeCell="I1" sqref="I1"/>
    </sheetView>
  </sheetViews>
  <sheetFormatPr defaultRowHeight="14.5" x14ac:dyDescent="0.35"/>
  <cols>
    <col min="1" max="1" width="12.36328125" bestFit="1" customWidth="1"/>
    <col min="2" max="2" width="11.81640625" customWidth="1"/>
    <col min="3" max="3" width="1.6328125" customWidth="1"/>
    <col min="4" max="4" width="12.36328125" bestFit="1" customWidth="1"/>
    <col min="5" max="5" width="11.81640625" bestFit="1" customWidth="1"/>
    <col min="6" max="6" width="0.453125" customWidth="1"/>
    <col min="7" max="7" width="12.36328125" bestFit="1" customWidth="1"/>
    <col min="8" max="8" width="11.81640625" bestFit="1" customWidth="1"/>
    <col min="9" max="9" width="0.90625" customWidth="1"/>
    <col min="10" max="10" width="12.36328125" bestFit="1" customWidth="1"/>
    <col min="11" max="11" width="18.36328125" bestFit="1" customWidth="1"/>
    <col min="12" max="12" width="0.6328125" customWidth="1"/>
    <col min="14" max="14" width="11.81640625" bestFit="1" customWidth="1"/>
  </cols>
  <sheetData>
    <row r="1" spans="1:14" x14ac:dyDescent="0.35">
      <c r="A1" s="4" t="s">
        <v>1</v>
      </c>
      <c r="B1" t="s">
        <v>43</v>
      </c>
      <c r="D1" s="4" t="s">
        <v>42</v>
      </c>
      <c r="E1" t="s">
        <v>43</v>
      </c>
      <c r="G1" s="4" t="s">
        <v>42</v>
      </c>
      <c r="H1" t="s">
        <v>43</v>
      </c>
      <c r="J1" s="4" t="s">
        <v>2</v>
      </c>
      <c r="K1" t="s">
        <v>49</v>
      </c>
      <c r="M1" s="4" t="s">
        <v>2</v>
      </c>
      <c r="N1" t="s">
        <v>50</v>
      </c>
    </row>
    <row r="2" spans="1:14" x14ac:dyDescent="0.35">
      <c r="A2" s="5" t="s">
        <v>44</v>
      </c>
      <c r="B2" s="6">
        <v>245668</v>
      </c>
      <c r="D2" s="5" t="s">
        <v>13</v>
      </c>
      <c r="E2" s="6">
        <v>266118.78787878796</v>
      </c>
      <c r="G2" s="5" t="s">
        <v>11</v>
      </c>
      <c r="H2" s="6">
        <v>306839.63636363647</v>
      </c>
      <c r="J2" s="5" t="s">
        <v>11</v>
      </c>
      <c r="K2" s="6">
        <v>0.4799999999999956</v>
      </c>
      <c r="M2" s="5" t="s">
        <v>11</v>
      </c>
      <c r="N2" s="6">
        <v>61984.54545454539</v>
      </c>
    </row>
    <row r="3" spans="1:14" x14ac:dyDescent="0.35">
      <c r="A3" s="5" t="s">
        <v>45</v>
      </c>
      <c r="B3" s="6">
        <v>49451.484848484812</v>
      </c>
      <c r="D3" s="5" t="s">
        <v>23</v>
      </c>
      <c r="E3" s="6">
        <v>212354.51515151522</v>
      </c>
      <c r="G3" s="5" t="s">
        <v>21</v>
      </c>
      <c r="H3" s="6">
        <v>161260.75757575771</v>
      </c>
      <c r="J3" s="5" t="s">
        <v>21</v>
      </c>
      <c r="K3" s="6">
        <v>0.44666666666666233</v>
      </c>
      <c r="M3" s="5" t="s">
        <v>21</v>
      </c>
      <c r="N3" s="6">
        <v>31018.181818181831</v>
      </c>
    </row>
    <row r="4" spans="1:14" x14ac:dyDescent="0.35">
      <c r="A4" s="5" t="s">
        <v>46</v>
      </c>
      <c r="B4" s="6">
        <v>153706.66666666683</v>
      </c>
      <c r="D4" s="5" t="s">
        <v>18</v>
      </c>
      <c r="E4" s="6">
        <v>414811.03030303051</v>
      </c>
      <c r="G4" s="5" t="s">
        <v>26</v>
      </c>
      <c r="H4" s="6">
        <v>178226.9696969697</v>
      </c>
      <c r="J4" s="5" t="s">
        <v>26</v>
      </c>
      <c r="K4" s="6">
        <v>0.63999999999999513</v>
      </c>
      <c r="M4" s="5" t="s">
        <v>26</v>
      </c>
      <c r="N4" s="6">
        <v>35232.727272727374</v>
      </c>
    </row>
    <row r="5" spans="1:14" x14ac:dyDescent="0.35">
      <c r="A5" s="5" t="s">
        <v>47</v>
      </c>
      <c r="B5" s="6">
        <v>401283.63636363659</v>
      </c>
      <c r="G5" s="5" t="s">
        <v>16</v>
      </c>
      <c r="H5" s="6">
        <v>246956.96969696981</v>
      </c>
      <c r="J5" s="5" t="s">
        <v>16</v>
      </c>
      <c r="K5" s="6">
        <v>0.80952380952380598</v>
      </c>
      <c r="M5" s="5" t="s">
        <v>16</v>
      </c>
      <c r="N5" s="6">
        <v>51604.84848484859</v>
      </c>
    </row>
    <row r="6" spans="1:14" x14ac:dyDescent="0.35">
      <c r="A6" s="5" t="s">
        <v>48</v>
      </c>
      <c r="B6" s="6">
        <v>43174.5454545455</v>
      </c>
    </row>
  </sheetData>
  <pageMargins left="0.7" right="0.7" top="0.75" bottom="0.75" header="0.3" footer="0.3"/>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I3"/>
  <sheetViews>
    <sheetView showGridLines="0" showRowColHeaders="0" zoomScale="68" zoomScaleNormal="68" workbookViewId="0">
      <selection activeCell="O2" sqref="O2"/>
    </sheetView>
  </sheetViews>
  <sheetFormatPr defaultRowHeight="14.5" x14ac:dyDescent="0.35"/>
  <cols>
    <col min="1" max="1" width="15.54296875" style="7" bestFit="1" customWidth="1"/>
    <col min="2" max="2" width="14.81640625" style="7" customWidth="1"/>
    <col min="3" max="3" width="14.26953125" style="7" customWidth="1"/>
    <col min="4" max="4" width="16.7265625" style="7" customWidth="1"/>
    <col min="5" max="16384" width="8.7265625" style="7"/>
  </cols>
  <sheetData>
    <row r="1" spans="2:9" ht="46.5" customHeight="1" x14ac:dyDescent="0.35"/>
    <row r="2" spans="2:9" ht="31" customHeight="1" x14ac:dyDescent="0.35"/>
    <row r="3" spans="2:9" ht="23.5" x14ac:dyDescent="0.55000000000000004">
      <c r="B3" s="9">
        <f>SUM(' Data'!H2:H50)</f>
        <v>893284.33333333407</v>
      </c>
      <c r="D3" s="8">
        <f>SUM(' Data'!J2:J50)</f>
        <v>179840.30303030321</v>
      </c>
      <c r="I3" s="7">
        <f>AVERAGE(' Data'!K2:K50)</f>
        <v>0.59999999999999598</v>
      </c>
    </row>
  </sheetData>
  <pageMargins left="0.7" right="0.7" top="0.75" bottom="0.75" header="0.3" footer="0.3"/>
  <pageSetup paperSize="8" orientation="landscape"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 Data</vt:lpstr>
      <vt:lpstr>Analsis</vt:lpstr>
      <vt:lpstr>Dashboard</vt:lpstr>
      <vt:lpstr>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cp:lastPrinted>2026-03-31T04:46:56Z</cp:lastPrinted>
  <dcterms:created xsi:type="dcterms:W3CDTF">2026-03-30T10:11:21Z</dcterms:created>
  <dcterms:modified xsi:type="dcterms:W3CDTF">2026-04-15T10:15:53Z</dcterms:modified>
</cp:coreProperties>
</file>